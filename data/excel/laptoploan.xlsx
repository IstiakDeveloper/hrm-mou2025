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hrm-mou\data\excel\"/>
    </mc:Choice>
  </mc:AlternateContent>
  <xr:revisionPtr revIDLastSave="0" documentId="13_ncr:1_{348B2481-B852-4D60-8203-CDE875C50B8D}" xr6:coauthVersionLast="47" xr6:coauthVersionMax="47" xr10:uidLastSave="{00000000-0000-0000-0000-000000000000}"/>
  <bookViews>
    <workbookView xWindow="-120" yWindow="-120" windowWidth="29040" windowHeight="15720" xr2:uid="{5FD9AEA3-2C81-4DCF-A6C8-E87E2A48C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" i="1" l="1"/>
  <c r="V17" i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V18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3" i="1"/>
  <c r="V3" i="1" s="1"/>
</calcChain>
</file>

<file path=xl/sharedStrings.xml><?xml version="1.0" encoding="utf-8"?>
<sst xmlns="http://schemas.openxmlformats.org/spreadsheetml/2006/main" count="89" uniqueCount="79">
  <si>
    <t>1</t>
  </si>
  <si>
    <t>Md. Shamim Hossain</t>
  </si>
  <si>
    <t>326</t>
  </si>
  <si>
    <t>BM-iii</t>
  </si>
  <si>
    <t>Noldanga</t>
  </si>
  <si>
    <t>28/10/2024</t>
  </si>
  <si>
    <t xml:space="preserve"> 40,000 </t>
  </si>
  <si>
    <t xml:space="preserve"> 28,000 </t>
  </si>
  <si>
    <t xml:space="preserve"> 1,500 </t>
  </si>
  <si>
    <t xml:space="preserve"> 1,500 2</t>
  </si>
  <si>
    <t xml:space="preserve"> 1,500 3</t>
  </si>
  <si>
    <t xml:space="preserve"> 1,500 4</t>
  </si>
  <si>
    <t xml:space="preserve"> 1,500 5</t>
  </si>
  <si>
    <t xml:space="preserve"> 1,500 6</t>
  </si>
  <si>
    <t xml:space="preserve"> 1,500 7</t>
  </si>
  <si>
    <t xml:space="preserve"> 1,500 8</t>
  </si>
  <si>
    <t xml:space="preserve"> 1,500 9</t>
  </si>
  <si>
    <t xml:space="preserve"> 1,500 10</t>
  </si>
  <si>
    <t xml:space="preserve"> 1,500 11</t>
  </si>
  <si>
    <t xml:space="preserve"> 1,500 12</t>
  </si>
  <si>
    <t xml:space="preserve"> 16,500 </t>
  </si>
  <si>
    <t xml:space="preserve"> 11,500 </t>
  </si>
  <si>
    <t>Md. Mithun Mia</t>
  </si>
  <si>
    <t>Ass. Manager (IT)</t>
  </si>
  <si>
    <t>Head Office</t>
  </si>
  <si>
    <t>Md. Al-Amin</t>
  </si>
  <si>
    <t>Cheragpur</t>
  </si>
  <si>
    <t>Md. kaharul Islam</t>
  </si>
  <si>
    <t>Khajura</t>
  </si>
  <si>
    <t>Istiyak Hossain</t>
  </si>
  <si>
    <t>Asst. Manager (IT)</t>
  </si>
  <si>
    <t>Md. Mosir Uddin</t>
  </si>
  <si>
    <t>Director (Finance &amp; Accouns)</t>
  </si>
  <si>
    <t>Muktider Rahman</t>
  </si>
  <si>
    <t>Md. Shakil Hossain</t>
  </si>
  <si>
    <t>Asst. BM</t>
  </si>
  <si>
    <t>Naogaon Sodor</t>
  </si>
  <si>
    <t>Md. Mostafizur Rahman</t>
  </si>
  <si>
    <t>BM-i</t>
  </si>
  <si>
    <t>Charagpur</t>
  </si>
  <si>
    <t>Rohidul Islam</t>
  </si>
  <si>
    <t>BM-ii</t>
  </si>
  <si>
    <t>Katkhir</t>
  </si>
  <si>
    <t>Md. Julkarnaim</t>
  </si>
  <si>
    <t>BM</t>
  </si>
  <si>
    <t>Hapania</t>
  </si>
  <si>
    <t>Md. Ashadul  Islam</t>
  </si>
  <si>
    <t>Shibpur</t>
  </si>
  <si>
    <t>Maruf Hossen</t>
  </si>
  <si>
    <t>Agradigun</t>
  </si>
  <si>
    <t>Md. Manjurul Kabir</t>
  </si>
  <si>
    <t>Sr.Manager (IT)</t>
  </si>
  <si>
    <t>Md.Al Amin Islam</t>
  </si>
  <si>
    <t>Act. RM</t>
  </si>
  <si>
    <t>Atrai</t>
  </si>
  <si>
    <t>Md. Abdullh Al Mamun</t>
  </si>
  <si>
    <t>Asst. Manager (Admin)</t>
  </si>
  <si>
    <t>SL</t>
  </si>
  <si>
    <t>Name</t>
  </si>
  <si>
    <t>Pin</t>
  </si>
  <si>
    <t>Designation</t>
  </si>
  <si>
    <t>Branch</t>
  </si>
  <si>
    <t>Disbursement Date</t>
  </si>
  <si>
    <t>Disbursement Taka</t>
  </si>
  <si>
    <t>Balance June 2025</t>
  </si>
  <si>
    <t>July'25</t>
  </si>
  <si>
    <t>August'25</t>
  </si>
  <si>
    <t>September'25</t>
  </si>
  <si>
    <t>October'25</t>
  </si>
  <si>
    <t>November'25</t>
  </si>
  <si>
    <t>December'25</t>
  </si>
  <si>
    <t>January'26</t>
  </si>
  <si>
    <t>February'26</t>
  </si>
  <si>
    <t>March'26</t>
  </si>
  <si>
    <t>April'26</t>
  </si>
  <si>
    <t>May'26</t>
  </si>
  <si>
    <t>Jun'26</t>
  </si>
  <si>
    <t>July'25 to June'26 Collection</t>
  </si>
  <si>
    <t>Current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</si>
</sst>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8" tint="0.5999938962981048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6" tint="0.5999938962981048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7B715-A278-4D76-9D03-BE4F1AF4F22C}" name="Table23" displayName="Table23" ref="A2:V18" totalsRowCount="1" headerRowDxfId="46" dataDxfId="45" tableBorderDxfId="44">
  <tableColumns count="22">
    <tableColumn id="1" xr3:uid="{176CCD93-D664-4269-A52F-DA156D912805}" name="1" dataDxfId="43" totalsRowDxfId="21">
      <calculatedColumnFormula>ROW()-5</calculatedColumnFormula>
    </tableColumn>
    <tableColumn id="2" xr3:uid="{6E0BA0EE-96B6-472E-AB0D-D9C18DCB8FBA}" name="Md. Shamim Hossain" dataDxfId="42" totalsRowDxfId="20"/>
    <tableColumn id="3" xr3:uid="{6E5BD247-F258-4B1D-AA5B-7959C752F17F}" name="326" dataDxfId="41" totalsRowDxfId="19"/>
    <tableColumn id="4" xr3:uid="{C1945FBD-D37C-4631-87B6-3F026BAA2893}" name="BM-iii" dataDxfId="40" totalsRowDxfId="18"/>
    <tableColumn id="5" xr3:uid="{DD8E5C45-F9E3-4929-836C-02742309E1D2}" name="Noldanga" dataDxfId="39" totalsRowDxfId="17"/>
    <tableColumn id="6" xr3:uid="{B7112E49-6C3C-4BE6-AA56-C9D01C68DA7B}" name="28/10/2024" dataDxfId="38" totalsRowDxfId="16"/>
    <tableColumn id="7" xr3:uid="{1DB85EFB-B965-416F-8B7B-983EE05304A5}" name=" 40,000 " dataDxfId="37" totalsRowDxfId="15" dataCellStyle="Comma" totalsRowCellStyle="Comma"/>
    <tableColumn id="8" xr3:uid="{F1B87C55-950D-406C-9840-D46DA2C668CC}" name=" 28,000 " dataDxfId="36" totalsRowDxfId="14" dataCellStyle="Comma" totalsRowCellStyle="Comma"/>
    <tableColumn id="9" xr3:uid="{457FCF36-154D-4CFB-A412-F47E1243B59C}" name=" 1,500 " dataDxfId="35" totalsRowDxfId="13" dataCellStyle="Comma" totalsRowCellStyle="Comma"/>
    <tableColumn id="10" xr3:uid="{176AA7AE-8658-4A87-BCEF-3D02B4A5BE2C}" name=" 1,500 2" dataDxfId="34" totalsRowDxfId="12" dataCellStyle="Comma" totalsRowCellStyle="Comma"/>
    <tableColumn id="11" xr3:uid="{32034B72-8607-47F6-8A72-A4185CA3C5C8}" name=" 1,500 3" dataDxfId="33" totalsRowDxfId="11" dataCellStyle="Comma" totalsRowCellStyle="Comma"/>
    <tableColumn id="12" xr3:uid="{92F24E98-675F-47BC-9947-8B2D4C2D93AF}" name=" 1,500 4" dataDxfId="32" totalsRowDxfId="10" dataCellStyle="Comma" totalsRowCellStyle="Comma"/>
    <tableColumn id="13" xr3:uid="{A447E265-0393-47CA-8BB4-436C4D4A1A27}" name=" 1,500 5" dataDxfId="31" totalsRowDxfId="9" dataCellStyle="Comma" totalsRowCellStyle="Comma"/>
    <tableColumn id="14" xr3:uid="{B7B0EFB2-EA86-40AA-A7AF-793526BEE284}" name=" 1,500 6" dataDxfId="30" totalsRowDxfId="8" dataCellStyle="Comma" totalsRowCellStyle="Comma"/>
    <tableColumn id="15" xr3:uid="{E6277474-5ABA-4589-BFA4-5BF3E87EBAAB}" name=" 1,500 7" dataDxfId="29" totalsRowDxfId="7" dataCellStyle="Comma" totalsRowCellStyle="Comma"/>
    <tableColumn id="16" xr3:uid="{08BD8F1A-4109-4F1A-9F05-26DD5CD37C83}" name=" 1,500 8" dataDxfId="28" totalsRowDxfId="6" dataCellStyle="Comma" totalsRowCellStyle="Comma"/>
    <tableColumn id="17" xr3:uid="{6CFA2557-8865-415B-B112-968BC03DA4CB}" name=" 1,500 9" dataDxfId="27" totalsRowDxfId="5" dataCellStyle="Comma" totalsRowCellStyle="Comma"/>
    <tableColumn id="18" xr3:uid="{4C72814D-6458-47FE-8374-DAFED186A48C}" name=" 1,500 10" dataDxfId="26" totalsRowDxfId="4" dataCellStyle="Comma" totalsRowCellStyle="Comma"/>
    <tableColumn id="19" xr3:uid="{25E4586A-45BB-4575-837B-22682398D06B}" name=" 1,500 11" dataDxfId="25" totalsRowDxfId="3" dataCellStyle="Comma" totalsRowCellStyle="Comma"/>
    <tableColumn id="20" xr3:uid="{3F048504-4C49-4CAC-B0B0-286B216A2593}" name=" 1,500 12" dataDxfId="24" totalsRowDxfId="2" dataCellStyle="Comma" totalsRowCellStyle="Comma"/>
    <tableColumn id="21" xr3:uid="{80026286-3ED4-4931-B798-C206E48C07E8}" name=" 16,500 " dataDxfId="23" totalsRowDxfId="1" dataCellStyle="Comma" totalsRowCellStyle="Comma">
      <calculatedColumnFormula>SUM(I3:T3)</calculatedColumnFormula>
    </tableColumn>
    <tableColumn id="22" xr3:uid="{CE7D95CC-3722-45DF-A33E-1FF086C71D3B}" name=" 11,500 " totalsRowFunction="custom" dataDxfId="22" totalsRowDxfId="0" dataCellStyle="Comma" totalsRowCellStyle="Comma">
      <totalsRowFormula>SUM(V3:V17)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CF66-03AF-46D4-8078-0B4113EB6FB5}">
  <dimension ref="A1:V18"/>
  <sheetViews>
    <sheetView tabSelected="1" workbookViewId="0">
      <selection activeCell="T22" activeCellId="1" sqref="V18 T22"/>
    </sheetView>
  </sheetViews>
  <sheetFormatPr defaultRowHeight="15" x14ac:dyDescent="0.25"/>
  <cols>
    <col min="1" max="1" width="3.28515625" style="14" bestFit="1" customWidth="1"/>
    <col min="2" max="2" width="23.5703125" style="14" bestFit="1" customWidth="1"/>
    <col min="3" max="3" width="4.42578125" style="14" bestFit="1" customWidth="1"/>
    <col min="4" max="4" width="22.7109375" style="14" bestFit="1" customWidth="1"/>
    <col min="5" max="5" width="15.140625" style="14" bestFit="1" customWidth="1"/>
    <col min="6" max="6" width="11.85546875" style="14" bestFit="1" customWidth="1"/>
    <col min="7" max="8" width="9.85546875" style="14" bestFit="1" customWidth="1"/>
    <col min="9" max="9" width="8.7109375" style="14" bestFit="1" customWidth="1"/>
    <col min="10" max="17" width="9.85546875" style="14" bestFit="1" customWidth="1"/>
    <col min="18" max="20" width="11" style="14" bestFit="1" customWidth="1"/>
    <col min="21" max="22" width="9.85546875" style="14" bestFit="1" customWidth="1"/>
    <col min="23" max="16384" width="9.140625" style="14"/>
  </cols>
  <sheetData>
    <row r="1" spans="1:22" ht="63" x14ac:dyDescent="0.25">
      <c r="A1" s="14" t="s">
        <v>57</v>
      </c>
      <c r="B1" s="14" t="s">
        <v>58</v>
      </c>
      <c r="C1" s="14" t="s">
        <v>59</v>
      </c>
      <c r="D1" s="14" t="s">
        <v>60</v>
      </c>
      <c r="E1" s="14" t="s">
        <v>61</v>
      </c>
      <c r="F1" s="19" t="s">
        <v>62</v>
      </c>
      <c r="G1" s="20" t="s">
        <v>63</v>
      </c>
      <c r="H1" s="20" t="s">
        <v>64</v>
      </c>
      <c r="I1" s="21" t="s">
        <v>65</v>
      </c>
      <c r="J1" s="21" t="s">
        <v>66</v>
      </c>
      <c r="K1" s="21" t="s">
        <v>67</v>
      </c>
      <c r="L1" s="21" t="s">
        <v>68</v>
      </c>
      <c r="M1" s="21" t="s">
        <v>69</v>
      </c>
      <c r="N1" s="21" t="s">
        <v>70</v>
      </c>
      <c r="O1" s="21" t="s">
        <v>71</v>
      </c>
      <c r="P1" s="21" t="s">
        <v>72</v>
      </c>
      <c r="Q1" s="21" t="s">
        <v>73</v>
      </c>
      <c r="R1" s="21" t="s">
        <v>74</v>
      </c>
      <c r="S1" s="21" t="s">
        <v>75</v>
      </c>
      <c r="T1" s="21" t="s">
        <v>76</v>
      </c>
      <c r="U1" s="22" t="s">
        <v>77</v>
      </c>
      <c r="V1" s="22" t="s">
        <v>78</v>
      </c>
    </row>
    <row r="2" spans="1:22" ht="15.75" x14ac:dyDescent="0.25">
      <c r="A2" s="1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7" t="s">
        <v>5</v>
      </c>
      <c r="G2" s="8" t="s">
        <v>6</v>
      </c>
      <c r="H2" s="8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12" t="s">
        <v>20</v>
      </c>
      <c r="V2" s="13" t="s">
        <v>21</v>
      </c>
    </row>
    <row r="3" spans="1:22" ht="15.75" x14ac:dyDescent="0.25">
      <c r="A3" s="11">
        <v>2</v>
      </c>
      <c r="B3" s="1" t="s">
        <v>22</v>
      </c>
      <c r="C3" s="1">
        <v>872</v>
      </c>
      <c r="D3" s="1" t="s">
        <v>23</v>
      </c>
      <c r="E3" s="1" t="s">
        <v>24</v>
      </c>
      <c r="F3" s="7">
        <v>45614</v>
      </c>
      <c r="G3" s="8">
        <v>40000</v>
      </c>
      <c r="H3" s="8">
        <v>29500</v>
      </c>
      <c r="I3" s="9">
        <v>1500</v>
      </c>
      <c r="J3" s="9">
        <v>1500</v>
      </c>
      <c r="K3" s="9">
        <v>1500</v>
      </c>
      <c r="L3" s="9">
        <v>1500</v>
      </c>
      <c r="M3" s="9">
        <v>1500</v>
      </c>
      <c r="N3" s="9">
        <v>1500</v>
      </c>
      <c r="O3" s="9">
        <v>1500</v>
      </c>
      <c r="P3" s="9">
        <v>1500</v>
      </c>
      <c r="Q3" s="9">
        <v>1500</v>
      </c>
      <c r="R3" s="9">
        <v>1500</v>
      </c>
      <c r="S3" s="9">
        <v>1500</v>
      </c>
      <c r="T3" s="9"/>
      <c r="U3" s="12">
        <f t="shared" ref="U3:U4" si="0">SUM(I3:T3)</f>
        <v>16500</v>
      </c>
      <c r="V3" s="13">
        <f t="shared" ref="V3:V9" si="1">H3-U3</f>
        <v>13000</v>
      </c>
    </row>
    <row r="4" spans="1:22" ht="15.75" x14ac:dyDescent="0.25">
      <c r="A4" s="11">
        <v>3</v>
      </c>
      <c r="B4" s="1" t="s">
        <v>25</v>
      </c>
      <c r="C4" s="1">
        <v>248</v>
      </c>
      <c r="D4" s="1" t="s">
        <v>3</v>
      </c>
      <c r="E4" s="1" t="s">
        <v>26</v>
      </c>
      <c r="F4" s="7">
        <v>45679</v>
      </c>
      <c r="G4" s="8">
        <v>40000</v>
      </c>
      <c r="H4" s="8">
        <v>32500</v>
      </c>
      <c r="I4" s="9">
        <v>1500</v>
      </c>
      <c r="J4" s="9">
        <v>1500</v>
      </c>
      <c r="K4" s="9">
        <v>1500</v>
      </c>
      <c r="L4" s="9">
        <v>1500</v>
      </c>
      <c r="M4" s="9">
        <v>1500</v>
      </c>
      <c r="N4" s="9">
        <v>1500</v>
      </c>
      <c r="O4" s="9">
        <v>1500</v>
      </c>
      <c r="P4" s="9">
        <v>1500</v>
      </c>
      <c r="Q4" s="9">
        <v>1500</v>
      </c>
      <c r="R4" s="9">
        <v>1500</v>
      </c>
      <c r="S4" s="9">
        <v>1500</v>
      </c>
      <c r="T4" s="9"/>
      <c r="U4" s="12">
        <f t="shared" si="0"/>
        <v>16500</v>
      </c>
      <c r="V4" s="13">
        <f t="shared" si="1"/>
        <v>16000</v>
      </c>
    </row>
    <row r="5" spans="1:22" ht="15.75" x14ac:dyDescent="0.25">
      <c r="A5" s="11">
        <v>4</v>
      </c>
      <c r="B5" s="15" t="s">
        <v>27</v>
      </c>
      <c r="C5" s="15">
        <v>356</v>
      </c>
      <c r="D5" s="15" t="s">
        <v>3</v>
      </c>
      <c r="E5" s="16" t="s">
        <v>28</v>
      </c>
      <c r="F5" s="16">
        <v>45691</v>
      </c>
      <c r="G5" s="17">
        <v>40000</v>
      </c>
      <c r="H5" s="17">
        <v>34000</v>
      </c>
      <c r="I5" s="18">
        <v>1500</v>
      </c>
      <c r="J5" s="18">
        <v>1500</v>
      </c>
      <c r="K5" s="18">
        <v>1500</v>
      </c>
      <c r="L5" s="18">
        <v>1500</v>
      </c>
      <c r="M5" s="18">
        <v>1500</v>
      </c>
      <c r="N5" s="18">
        <v>1500</v>
      </c>
      <c r="O5" s="18">
        <v>1500</v>
      </c>
      <c r="P5" s="18">
        <v>1500</v>
      </c>
      <c r="Q5" s="18">
        <v>1500</v>
      </c>
      <c r="R5" s="18">
        <v>1500</v>
      </c>
      <c r="S5" s="18">
        <v>1500</v>
      </c>
      <c r="T5" s="18"/>
      <c r="U5" s="10">
        <f>SUM(I5:T5)</f>
        <v>16500</v>
      </c>
      <c r="V5" s="13">
        <f t="shared" si="1"/>
        <v>17500</v>
      </c>
    </row>
    <row r="6" spans="1:22" ht="15.75" x14ac:dyDescent="0.25">
      <c r="A6" s="11">
        <v>5</v>
      </c>
      <c r="B6" s="1" t="s">
        <v>29</v>
      </c>
      <c r="C6" s="1">
        <v>992</v>
      </c>
      <c r="D6" s="1" t="s">
        <v>30</v>
      </c>
      <c r="E6" s="2" t="s">
        <v>24</v>
      </c>
      <c r="F6" s="7">
        <v>45762</v>
      </c>
      <c r="G6" s="8">
        <v>40000</v>
      </c>
      <c r="H6" s="8">
        <v>37000</v>
      </c>
      <c r="I6" s="9">
        <v>1500</v>
      </c>
      <c r="J6" s="9">
        <v>1500</v>
      </c>
      <c r="K6" s="9">
        <v>1500</v>
      </c>
      <c r="L6" s="9">
        <v>1500</v>
      </c>
      <c r="M6" s="9">
        <v>1500</v>
      </c>
      <c r="N6" s="9">
        <v>1500</v>
      </c>
      <c r="O6" s="9">
        <v>1500</v>
      </c>
      <c r="P6" s="9">
        <v>1500</v>
      </c>
      <c r="Q6" s="9">
        <v>1500</v>
      </c>
      <c r="R6" s="9">
        <v>1500</v>
      </c>
      <c r="S6" s="9">
        <v>1500</v>
      </c>
      <c r="T6" s="9"/>
      <c r="U6" s="10">
        <f t="shared" ref="U6:U13" si="2">SUM(I6:T6)</f>
        <v>16500</v>
      </c>
      <c r="V6" s="13">
        <f t="shared" si="1"/>
        <v>20500</v>
      </c>
    </row>
    <row r="7" spans="1:22" ht="24" x14ac:dyDescent="0.25">
      <c r="A7" s="11">
        <v>6</v>
      </c>
      <c r="B7" s="1" t="s">
        <v>31</v>
      </c>
      <c r="C7" s="1">
        <v>823</v>
      </c>
      <c r="D7" s="3" t="s">
        <v>32</v>
      </c>
      <c r="E7" s="2" t="s">
        <v>24</v>
      </c>
      <c r="F7" s="7">
        <v>45762</v>
      </c>
      <c r="G7" s="8">
        <v>40000</v>
      </c>
      <c r="H7" s="8">
        <v>37000</v>
      </c>
      <c r="I7" s="9">
        <v>1500</v>
      </c>
      <c r="J7" s="9">
        <v>1500</v>
      </c>
      <c r="K7" s="9">
        <v>1500</v>
      </c>
      <c r="L7" s="9">
        <v>1500</v>
      </c>
      <c r="M7" s="9">
        <v>1500</v>
      </c>
      <c r="N7" s="9">
        <v>1500</v>
      </c>
      <c r="O7" s="9">
        <v>1500</v>
      </c>
      <c r="P7" s="9">
        <v>1500</v>
      </c>
      <c r="Q7" s="9">
        <v>1500</v>
      </c>
      <c r="R7" s="9">
        <v>1500</v>
      </c>
      <c r="S7" s="9">
        <v>1500</v>
      </c>
      <c r="T7" s="9"/>
      <c r="U7" s="10">
        <f t="shared" si="2"/>
        <v>16500</v>
      </c>
      <c r="V7" s="13">
        <f t="shared" si="1"/>
        <v>20500</v>
      </c>
    </row>
    <row r="8" spans="1:22" ht="15.75" x14ac:dyDescent="0.25">
      <c r="A8" s="11">
        <v>7</v>
      </c>
      <c r="B8" s="1" t="s">
        <v>33</v>
      </c>
      <c r="C8" s="1">
        <v>769</v>
      </c>
      <c r="D8" s="1" t="s">
        <v>30</v>
      </c>
      <c r="E8" s="2" t="s">
        <v>24</v>
      </c>
      <c r="F8" s="7">
        <v>45764</v>
      </c>
      <c r="G8" s="8">
        <v>40000</v>
      </c>
      <c r="H8" s="8">
        <v>37000</v>
      </c>
      <c r="I8" s="9">
        <v>1500</v>
      </c>
      <c r="J8" s="9">
        <v>1500</v>
      </c>
      <c r="K8" s="9">
        <v>1500</v>
      </c>
      <c r="L8" s="9">
        <v>1500</v>
      </c>
      <c r="M8" s="9">
        <v>1500</v>
      </c>
      <c r="N8" s="9">
        <v>1500</v>
      </c>
      <c r="O8" s="9">
        <v>1500</v>
      </c>
      <c r="P8" s="9">
        <v>1500</v>
      </c>
      <c r="Q8" s="9">
        <v>1500</v>
      </c>
      <c r="R8" s="9">
        <v>1500</v>
      </c>
      <c r="S8" s="9">
        <v>1500</v>
      </c>
      <c r="T8" s="9"/>
      <c r="U8" s="10">
        <f t="shared" si="2"/>
        <v>16500</v>
      </c>
      <c r="V8" s="13">
        <f t="shared" si="1"/>
        <v>20500</v>
      </c>
    </row>
    <row r="9" spans="1:22" ht="15.75" x14ac:dyDescent="0.25">
      <c r="A9" s="11">
        <v>8</v>
      </c>
      <c r="B9" s="1" t="s">
        <v>34</v>
      </c>
      <c r="C9" s="1">
        <v>225</v>
      </c>
      <c r="D9" s="1" t="s">
        <v>35</v>
      </c>
      <c r="E9" s="2" t="s">
        <v>36</v>
      </c>
      <c r="F9" s="7">
        <v>45804</v>
      </c>
      <c r="G9" s="8">
        <v>40000</v>
      </c>
      <c r="H9" s="8">
        <v>38500</v>
      </c>
      <c r="I9" s="9">
        <v>1500</v>
      </c>
      <c r="J9" s="9">
        <v>1500</v>
      </c>
      <c r="K9" s="9">
        <v>1500</v>
      </c>
      <c r="L9" s="9">
        <v>1500</v>
      </c>
      <c r="M9" s="9">
        <v>1500</v>
      </c>
      <c r="N9" s="9">
        <v>1500</v>
      </c>
      <c r="O9" s="9">
        <v>1500</v>
      </c>
      <c r="P9" s="9">
        <v>1500</v>
      </c>
      <c r="Q9" s="9">
        <v>1500</v>
      </c>
      <c r="R9" s="9">
        <v>1500</v>
      </c>
      <c r="S9" s="9">
        <v>1500</v>
      </c>
      <c r="T9" s="9"/>
      <c r="U9" s="10">
        <f t="shared" si="2"/>
        <v>16500</v>
      </c>
      <c r="V9" s="13">
        <f t="shared" si="1"/>
        <v>22000</v>
      </c>
    </row>
    <row r="10" spans="1:22" ht="15.75" x14ac:dyDescent="0.25">
      <c r="A10" s="11">
        <v>9</v>
      </c>
      <c r="B10" s="1" t="s">
        <v>37</v>
      </c>
      <c r="C10" s="1">
        <v>990</v>
      </c>
      <c r="D10" s="1" t="s">
        <v>38</v>
      </c>
      <c r="E10" s="2" t="s">
        <v>39</v>
      </c>
      <c r="F10" s="7">
        <v>45811</v>
      </c>
      <c r="G10" s="8">
        <v>40000</v>
      </c>
      <c r="H10" s="8"/>
      <c r="I10" s="9">
        <v>1500</v>
      </c>
      <c r="J10" s="9">
        <v>1500</v>
      </c>
      <c r="K10" s="9">
        <v>1500</v>
      </c>
      <c r="L10" s="9">
        <v>1500</v>
      </c>
      <c r="M10" s="9">
        <v>1500</v>
      </c>
      <c r="N10" s="9">
        <v>1500</v>
      </c>
      <c r="O10" s="9">
        <v>1500</v>
      </c>
      <c r="P10" s="9">
        <v>1500</v>
      </c>
      <c r="Q10" s="9">
        <v>1500</v>
      </c>
      <c r="R10" s="9">
        <v>1500</v>
      </c>
      <c r="S10" s="9">
        <v>1500</v>
      </c>
      <c r="T10" s="9"/>
      <c r="U10" s="10">
        <f t="shared" si="2"/>
        <v>16500</v>
      </c>
      <c r="V10" s="13">
        <f>Table23[[#This Row],[ 40,000 ]]-U10</f>
        <v>23500</v>
      </c>
    </row>
    <row r="11" spans="1:22" ht="15.75" x14ac:dyDescent="0.25">
      <c r="A11" s="11">
        <v>10</v>
      </c>
      <c r="B11" s="1" t="s">
        <v>40</v>
      </c>
      <c r="C11" s="1">
        <v>956</v>
      </c>
      <c r="D11" s="1" t="s">
        <v>41</v>
      </c>
      <c r="E11" s="2" t="s">
        <v>42</v>
      </c>
      <c r="F11" s="7">
        <v>45868</v>
      </c>
      <c r="G11" s="8">
        <v>40000</v>
      </c>
      <c r="H11" s="8"/>
      <c r="I11" s="8"/>
      <c r="J11" s="8">
        <v>1500</v>
      </c>
      <c r="K11" s="8">
        <v>1500</v>
      </c>
      <c r="L11" s="8">
        <v>1500</v>
      </c>
      <c r="M11" s="8">
        <v>1500</v>
      </c>
      <c r="N11" s="8">
        <v>1500</v>
      </c>
      <c r="O11" s="8">
        <v>1500</v>
      </c>
      <c r="P11" s="8">
        <v>1500</v>
      </c>
      <c r="Q11" s="8">
        <v>1500</v>
      </c>
      <c r="R11" s="8">
        <v>1500</v>
      </c>
      <c r="S11" s="8">
        <v>1500</v>
      </c>
      <c r="T11" s="9"/>
      <c r="U11" s="10">
        <f t="shared" si="2"/>
        <v>15000</v>
      </c>
      <c r="V11" s="13">
        <f>Table23[[#This Row],[ 40,000 ]]-U11</f>
        <v>25000</v>
      </c>
    </row>
    <row r="12" spans="1:22" ht="15.75" x14ac:dyDescent="0.25">
      <c r="A12" s="11">
        <v>11</v>
      </c>
      <c r="B12" s="4" t="s">
        <v>43</v>
      </c>
      <c r="C12" s="4">
        <v>640</v>
      </c>
      <c r="D12" s="1" t="s">
        <v>44</v>
      </c>
      <c r="E12" s="2" t="s">
        <v>45</v>
      </c>
      <c r="F12" s="7">
        <v>45868</v>
      </c>
      <c r="G12" s="8">
        <v>40000</v>
      </c>
      <c r="H12" s="8"/>
      <c r="I12" s="8"/>
      <c r="J12" s="8">
        <v>1500</v>
      </c>
      <c r="K12" s="8">
        <v>1500</v>
      </c>
      <c r="L12" s="8">
        <v>1500</v>
      </c>
      <c r="M12" s="8">
        <v>1500</v>
      </c>
      <c r="N12" s="8">
        <v>1500</v>
      </c>
      <c r="O12" s="8">
        <v>1500</v>
      </c>
      <c r="P12" s="8">
        <v>1500</v>
      </c>
      <c r="Q12" s="8">
        <v>1500</v>
      </c>
      <c r="R12" s="8">
        <v>1500</v>
      </c>
      <c r="S12" s="8">
        <v>1500</v>
      </c>
      <c r="T12" s="9"/>
      <c r="U12" s="10">
        <f t="shared" si="2"/>
        <v>15000</v>
      </c>
      <c r="V12" s="13">
        <f>Table23[[#This Row],[ 40,000 ]]-U12</f>
        <v>25000</v>
      </c>
    </row>
    <row r="13" spans="1:22" ht="15.75" x14ac:dyDescent="0.25">
      <c r="A13" s="11">
        <v>12</v>
      </c>
      <c r="B13" s="1" t="s">
        <v>46</v>
      </c>
      <c r="C13" s="1">
        <v>376</v>
      </c>
      <c r="D13" s="1" t="s">
        <v>44</v>
      </c>
      <c r="E13" s="2" t="s">
        <v>47</v>
      </c>
      <c r="F13" s="7">
        <v>45888</v>
      </c>
      <c r="G13" s="8">
        <v>40000</v>
      </c>
      <c r="H13" s="8"/>
      <c r="I13" s="8"/>
      <c r="J13" s="8"/>
      <c r="K13" s="8">
        <v>1500</v>
      </c>
      <c r="L13" s="8">
        <v>1500</v>
      </c>
      <c r="M13" s="8">
        <v>1500</v>
      </c>
      <c r="N13" s="8">
        <v>1500</v>
      </c>
      <c r="O13" s="8">
        <v>1500</v>
      </c>
      <c r="P13" s="8">
        <v>1500</v>
      </c>
      <c r="Q13" s="8">
        <v>1500</v>
      </c>
      <c r="R13" s="8">
        <v>1500</v>
      </c>
      <c r="S13" s="8">
        <v>1500</v>
      </c>
      <c r="T13" s="9"/>
      <c r="U13" s="10">
        <f t="shared" si="2"/>
        <v>13500</v>
      </c>
      <c r="V13" s="13">
        <f>Table23[[#This Row],[ 40,000 ]]-U13</f>
        <v>26500</v>
      </c>
    </row>
    <row r="14" spans="1:22" ht="15.75" x14ac:dyDescent="0.25">
      <c r="A14" s="11">
        <v>13</v>
      </c>
      <c r="B14" s="1" t="s">
        <v>48</v>
      </c>
      <c r="C14" s="1">
        <v>527</v>
      </c>
      <c r="D14" s="1" t="s">
        <v>44</v>
      </c>
      <c r="E14" s="2" t="s">
        <v>49</v>
      </c>
      <c r="F14" s="7">
        <v>45888</v>
      </c>
      <c r="G14" s="8">
        <v>40000</v>
      </c>
      <c r="H14" s="8"/>
      <c r="I14" s="8"/>
      <c r="J14" s="8"/>
      <c r="K14" s="8">
        <v>1500</v>
      </c>
      <c r="L14" s="8">
        <v>1500</v>
      </c>
      <c r="M14" s="8">
        <v>1500</v>
      </c>
      <c r="N14" s="8">
        <v>1500</v>
      </c>
      <c r="O14" s="8">
        <v>1500</v>
      </c>
      <c r="P14" s="8">
        <v>1500</v>
      </c>
      <c r="Q14" s="8">
        <v>1500</v>
      </c>
      <c r="R14" s="8">
        <v>1500</v>
      </c>
      <c r="S14" s="8">
        <v>1500</v>
      </c>
      <c r="T14" s="9"/>
      <c r="U14" s="12">
        <f>SUM(I14:T14)</f>
        <v>13500</v>
      </c>
      <c r="V14" s="13">
        <f>Table23[[#This Row],[ 40,000 ]]-U14</f>
        <v>26500</v>
      </c>
    </row>
    <row r="15" spans="1:22" ht="15.75" x14ac:dyDescent="0.25">
      <c r="A15" s="11">
        <v>14</v>
      </c>
      <c r="B15" s="5" t="s">
        <v>50</v>
      </c>
      <c r="C15" s="5">
        <v>386</v>
      </c>
      <c r="D15" s="5" t="s">
        <v>51</v>
      </c>
      <c r="E15" s="6" t="s">
        <v>24</v>
      </c>
      <c r="F15" s="16">
        <v>45900</v>
      </c>
      <c r="G15" s="17">
        <v>40000</v>
      </c>
      <c r="H15" s="17"/>
      <c r="I15" s="17"/>
      <c r="J15" s="17"/>
      <c r="K15" s="17">
        <v>1500</v>
      </c>
      <c r="L15" s="17">
        <v>1500</v>
      </c>
      <c r="M15" s="17">
        <v>1500</v>
      </c>
      <c r="N15" s="17">
        <v>1500</v>
      </c>
      <c r="O15" s="17">
        <v>1500</v>
      </c>
      <c r="P15" s="17">
        <v>1500</v>
      </c>
      <c r="Q15" s="17">
        <v>1500</v>
      </c>
      <c r="R15" s="17">
        <v>1500</v>
      </c>
      <c r="S15" s="17">
        <v>1500</v>
      </c>
      <c r="T15" s="18"/>
      <c r="U15" s="12">
        <f>SUM(I15:T15)</f>
        <v>13500</v>
      </c>
      <c r="V15" s="13">
        <f>Table23[[#This Row],[ 40,000 ]]-U15</f>
        <v>26500</v>
      </c>
    </row>
    <row r="16" spans="1:22" ht="15.75" x14ac:dyDescent="0.25">
      <c r="A16" s="11">
        <v>15</v>
      </c>
      <c r="B16" s="5" t="s">
        <v>52</v>
      </c>
      <c r="C16" s="5">
        <v>317</v>
      </c>
      <c r="D16" s="5" t="s">
        <v>53</v>
      </c>
      <c r="E16" s="6" t="s">
        <v>54</v>
      </c>
      <c r="F16" s="16">
        <v>45911</v>
      </c>
      <c r="G16" s="17">
        <v>40000</v>
      </c>
      <c r="H16" s="8"/>
      <c r="I16" s="8"/>
      <c r="J16" s="8"/>
      <c r="K16" s="8"/>
      <c r="L16" s="8">
        <v>1500</v>
      </c>
      <c r="M16" s="8">
        <v>1500</v>
      </c>
      <c r="N16" s="8">
        <v>1500</v>
      </c>
      <c r="O16" s="8">
        <v>1500</v>
      </c>
      <c r="P16" s="8">
        <v>1500</v>
      </c>
      <c r="Q16" s="8">
        <v>1500</v>
      </c>
      <c r="R16" s="8">
        <v>1500</v>
      </c>
      <c r="S16" s="8">
        <v>1500</v>
      </c>
      <c r="T16" s="9"/>
      <c r="U16" s="12">
        <f t="shared" ref="U16:U17" si="3">SUM(I16:T16)</f>
        <v>12000</v>
      </c>
      <c r="V16" s="13">
        <f>Table23[[#This Row],[ 40,000 ]]-U16</f>
        <v>28000</v>
      </c>
    </row>
    <row r="17" spans="1:22" ht="15.75" x14ac:dyDescent="0.25">
      <c r="A17" s="11">
        <v>16</v>
      </c>
      <c r="B17" s="1" t="s">
        <v>55</v>
      </c>
      <c r="C17" s="1">
        <v>918</v>
      </c>
      <c r="D17" s="1" t="s">
        <v>56</v>
      </c>
      <c r="E17" s="6" t="s">
        <v>24</v>
      </c>
      <c r="F17" s="7">
        <v>45911</v>
      </c>
      <c r="G17" s="8">
        <v>40000</v>
      </c>
      <c r="H17" s="8"/>
      <c r="I17" s="8"/>
      <c r="J17" s="8"/>
      <c r="K17" s="8"/>
      <c r="L17" s="8">
        <v>1500</v>
      </c>
      <c r="M17" s="8">
        <v>1500</v>
      </c>
      <c r="N17" s="8">
        <v>1500</v>
      </c>
      <c r="O17" s="8">
        <v>1500</v>
      </c>
      <c r="P17" s="8">
        <v>1500</v>
      </c>
      <c r="Q17" s="8">
        <v>1500</v>
      </c>
      <c r="R17" s="8">
        <v>1500</v>
      </c>
      <c r="S17" s="8">
        <v>1500</v>
      </c>
      <c r="T17" s="9"/>
      <c r="U17" s="12">
        <f t="shared" si="3"/>
        <v>12000</v>
      </c>
      <c r="V17" s="13">
        <f>Table23[[#This Row],[ 40,000 ]]-U17</f>
        <v>28000</v>
      </c>
    </row>
    <row r="18" spans="1:22" ht="15.75" x14ac:dyDescent="0.25">
      <c r="A18" s="23"/>
      <c r="B18" s="24"/>
      <c r="C18" s="24"/>
      <c r="D18" s="24"/>
      <c r="E18" s="24"/>
      <c r="F18" s="25"/>
      <c r="G18" s="17"/>
      <c r="H18" s="17"/>
      <c r="I18" s="17"/>
      <c r="J18" s="17"/>
      <c r="K18" s="17"/>
      <c r="L18" s="17"/>
      <c r="M18" s="18"/>
      <c r="N18" s="17"/>
      <c r="O18" s="17"/>
      <c r="P18" s="17"/>
      <c r="Q18" s="17"/>
      <c r="R18" s="18"/>
      <c r="S18" s="18"/>
      <c r="T18" s="18"/>
      <c r="U18" s="10"/>
      <c r="V18" s="26">
        <f>SUM(V3:V17)</f>
        <v>339000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2026-06-14T13:13:57Z</dcterms:created>
  <dcterms:modified xsi:type="dcterms:W3CDTF">2026-06-14T13:34:48Z</dcterms:modified>
</cp:coreProperties>
</file>