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8_{AF1329EA-D351-4103-BF1D-6C9B5BF9AAF9}" xr6:coauthVersionLast="47" xr6:coauthVersionMax="47" xr10:uidLastSave="{00000000-0000-0000-0000-000000000000}"/>
  <bookViews>
    <workbookView xWindow="-120" yWindow="-120" windowWidth="29040" windowHeight="15720" xr2:uid="{A468FE08-8562-443B-9E2A-77B9D1631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" i="1" l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T49" i="1"/>
  <c r="U49" i="1" s="1"/>
  <c r="T48" i="1"/>
  <c r="U48" i="1" s="1"/>
  <c r="T47" i="1"/>
  <c r="U47" i="1" s="1"/>
  <c r="T46" i="1"/>
  <c r="U46" i="1" s="1"/>
  <c r="U45" i="1"/>
  <c r="T45" i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U34" i="1"/>
  <c r="T34" i="1"/>
  <c r="T33" i="1"/>
  <c r="U33" i="1" s="1"/>
  <c r="T32" i="1"/>
  <c r="U32" i="1" s="1"/>
  <c r="T31" i="1"/>
  <c r="U31" i="1" s="1"/>
  <c r="T30" i="1"/>
  <c r="U30" i="1" s="1"/>
  <c r="T29" i="1"/>
  <c r="U29" i="1" s="1"/>
  <c r="U28" i="1"/>
  <c r="T28" i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U18" i="1"/>
  <c r="T18" i="1"/>
  <c r="T17" i="1"/>
  <c r="U17" i="1" s="1"/>
  <c r="T16" i="1"/>
  <c r="U16" i="1" s="1"/>
  <c r="T15" i="1"/>
  <c r="U15" i="1" s="1"/>
  <c r="T14" i="1"/>
  <c r="U14" i="1" s="1"/>
  <c r="T13" i="1"/>
  <c r="U13" i="1" s="1"/>
  <c r="U12" i="1"/>
  <c r="T12" i="1"/>
  <c r="T11" i="1"/>
  <c r="U11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4" i="1"/>
  <c r="U4" i="1" s="1"/>
  <c r="T3" i="1"/>
  <c r="U3" i="1" s="1"/>
  <c r="U2" i="1"/>
  <c r="T2" i="1"/>
  <c r="F2" i="1"/>
</calcChain>
</file>

<file path=xl/sharedStrings.xml><?xml version="1.0" encoding="utf-8"?>
<sst xmlns="http://schemas.openxmlformats.org/spreadsheetml/2006/main" count="118" uniqueCount="89">
  <si>
    <t>S.L</t>
  </si>
  <si>
    <t>Name of Employee</t>
  </si>
  <si>
    <t>ID 
No.</t>
  </si>
  <si>
    <t>Designation</t>
  </si>
  <si>
    <t>Disbursement Date</t>
  </si>
  <si>
    <t>Disbursement Taka</t>
  </si>
  <si>
    <t>Balance June 2025</t>
  </si>
  <si>
    <t>July'25</t>
  </si>
  <si>
    <t>August'25</t>
  </si>
  <si>
    <t>September'25</t>
  </si>
  <si>
    <t>October'25</t>
  </si>
  <si>
    <t>November'25</t>
  </si>
  <si>
    <t>December'25</t>
  </si>
  <si>
    <t>January'26</t>
  </si>
  <si>
    <t>February'26</t>
  </si>
  <si>
    <t>March'26</t>
  </si>
  <si>
    <t>April'26</t>
  </si>
  <si>
    <t>May'26</t>
  </si>
  <si>
    <t>Jun'26</t>
  </si>
  <si>
    <t>July'25 to June'26 Collection</t>
  </si>
  <si>
    <t>Current Balance</t>
  </si>
  <si>
    <t>Sree Sumon Kumar Ghosh</t>
  </si>
  <si>
    <t>ZM</t>
  </si>
  <si>
    <t>13/09/2020-24/12/2023</t>
  </si>
  <si>
    <t>Mst. Salma Khatun</t>
  </si>
  <si>
    <t>AC-i</t>
  </si>
  <si>
    <t>Md. Rayhan Kabir Nayon</t>
  </si>
  <si>
    <t>BM-ii</t>
  </si>
  <si>
    <t>Md. Adom Ali</t>
  </si>
  <si>
    <t>Md. Anisur  Rahman</t>
  </si>
  <si>
    <t>Md. Samiul Islam</t>
  </si>
  <si>
    <t>Md. Abdul Hakim sarder</t>
  </si>
  <si>
    <t>BM-iii</t>
  </si>
  <si>
    <t>Md. Monirul Alam</t>
  </si>
  <si>
    <t>AC-ii</t>
  </si>
  <si>
    <t>Md. Sohel Rana</t>
  </si>
  <si>
    <t>Manager (Trining)</t>
  </si>
  <si>
    <t>Md. Nurn Nobi</t>
  </si>
  <si>
    <t>Case Management Officer</t>
  </si>
  <si>
    <t>Md. Manjurul Kabir</t>
  </si>
  <si>
    <t>Manager (IT)</t>
  </si>
  <si>
    <t>Md. Minhajul Islam</t>
  </si>
  <si>
    <t>Md. Rayhan Tatukdar</t>
  </si>
  <si>
    <t>Training Officer (RMTP)</t>
  </si>
  <si>
    <t>Md. Abdullh Al Mamun</t>
  </si>
  <si>
    <t>Ass. Manager (Admin)</t>
  </si>
  <si>
    <t>Md. Abdul Barik</t>
  </si>
  <si>
    <t>Md. Firoz Islam</t>
  </si>
  <si>
    <t>Md. Lipon Hossain</t>
  </si>
  <si>
    <t>RM-ii</t>
  </si>
  <si>
    <t>Sree  Bhupandranath</t>
  </si>
  <si>
    <t>Md. Anichur Rahman</t>
  </si>
  <si>
    <t>RM</t>
  </si>
  <si>
    <t>Md. Mosir Uddin</t>
  </si>
  <si>
    <t>Director (Finance &amp; Accouns)</t>
  </si>
  <si>
    <t>Md. Al Amin</t>
  </si>
  <si>
    <t>Account Officer (SMART)</t>
  </si>
  <si>
    <t>Md. Mofajjol Hossain</t>
  </si>
  <si>
    <t>Md. Mithun Mia</t>
  </si>
  <si>
    <t>Ass. Manager (IT)</t>
  </si>
  <si>
    <t>Mohammod Ali</t>
  </si>
  <si>
    <t>Md.Johurul Islam</t>
  </si>
  <si>
    <t>BM-i</t>
  </si>
  <si>
    <t>Md. Muniruzzaman munshi</t>
  </si>
  <si>
    <t>Muktider Rahman</t>
  </si>
  <si>
    <t>Asst. Manager (IT)</t>
  </si>
  <si>
    <t>Istiyak Hossain</t>
  </si>
  <si>
    <t>Md.Al Amin Islam</t>
  </si>
  <si>
    <t>Abdur Rahman</t>
  </si>
  <si>
    <t>Sujit Kumar Das</t>
  </si>
  <si>
    <t>Ajmol Hossain</t>
  </si>
  <si>
    <t>Md. Saddam Hossan</t>
  </si>
  <si>
    <t>Sujol Mohonto</t>
  </si>
  <si>
    <t>Md. Moyen Uddin</t>
  </si>
  <si>
    <t>Md. Shakil Hossain</t>
  </si>
  <si>
    <t>ABM</t>
  </si>
  <si>
    <t>Md. A. Kuddus Sardar</t>
  </si>
  <si>
    <t>Md. Ashadul  Islam</t>
  </si>
  <si>
    <t>Md. Sohag</t>
  </si>
  <si>
    <t>Rohidul Islam</t>
  </si>
  <si>
    <t>Md. Muktadir Rahman</t>
  </si>
  <si>
    <t>Resident Physician</t>
  </si>
  <si>
    <t>Md. Shamim Hossain</t>
  </si>
  <si>
    <t>Md. Mihajul Islam</t>
  </si>
  <si>
    <t xml:space="preserve">Asst. Manager (Finance &amp; Accounts) </t>
  </si>
  <si>
    <t>Subir Kumar Ray</t>
  </si>
  <si>
    <t>Md. Abdus Salam</t>
  </si>
  <si>
    <t>Md Ashraful Islam</t>
  </si>
  <si>
    <t>Sabbir 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</si>
</sst>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3" borderId="7" xfId="1" applyNumberFormat="1" applyFont="1" applyFill="1" applyBorder="1" applyAlignment="1">
      <alignment horizontal="center" vertical="center"/>
    </xf>
    <xf numFmtId="0" fontId="2" fillId="4" borderId="5" xfId="0" applyFont="1" applyFill="1" applyBorder="1"/>
    <xf numFmtId="0" fontId="8" fillId="4" borderId="5" xfId="0" applyFont="1" applyFill="1" applyBorder="1" applyAlignment="1">
      <alignment horizontal="center"/>
    </xf>
    <xf numFmtId="164" fontId="8" fillId="4" borderId="5" xfId="1" applyNumberFormat="1" applyFont="1" applyFill="1" applyBorder="1" applyAlignment="1">
      <alignment horizontal="center"/>
    </xf>
    <xf numFmtId="164" fontId="0" fillId="4" borderId="5" xfId="1" applyNumberFormat="1" applyFont="1" applyFill="1" applyBorder="1"/>
  </cellXfs>
  <cellStyles count="2">
    <cellStyle name="Comma" xfId="1" builtinId="3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rgb="FF00B05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6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A4EEF-01ED-4D5C-9814-83BF1AF82AD1}" name="Table2" displayName="Table2" ref="A1:U49" totalsRowShown="0" headerRowDxfId="1" dataDxfId="0" headerRowBorderDxfId="23" tableBorderDxfId="24">
  <autoFilter ref="A1:U49" xr:uid="{34BA4EEF-01ED-4D5C-9814-83BF1AF82AD1}"/>
  <tableColumns count="21">
    <tableColumn id="1" xr3:uid="{E19B1A9C-EB22-41C7-869B-ECFAD7445E7B}" name="S.L" dataDxfId="22">
      <calculatedColumnFormula>ROW()-4</calculatedColumnFormula>
    </tableColumn>
    <tableColumn id="2" xr3:uid="{FD8FF0A1-FB03-4875-B8B2-F1BFC4B2EA8C}" name="Name of Employee" dataDxfId="21"/>
    <tableColumn id="3" xr3:uid="{E4D5BFC8-A9D9-4054-B5DC-75FBF7926C2E}" name="ID _x000a_No." dataDxfId="20"/>
    <tableColumn id="4" xr3:uid="{40A44467-8515-4A74-A6A5-A4645C9D4715}" name="Designation" dataDxfId="19"/>
    <tableColumn id="5" xr3:uid="{1FDB27AE-04C1-4A3E-A25E-9DA83F328F3F}" name="Disbursement Date" dataDxfId="18"/>
    <tableColumn id="6" xr3:uid="{B2CAAE63-EF0B-49A3-AF06-6FD6E4A70582}" name="Disbursement Taka" dataDxfId="17" dataCellStyle="Comma"/>
    <tableColumn id="7" xr3:uid="{9FB7D542-2662-4A93-AE71-8D3ADEDBB139}" name="Balance June 2025" dataDxfId="16" dataCellStyle="Comma"/>
    <tableColumn id="8" xr3:uid="{0989C11C-2422-4D55-9BED-4151150E0E9B}" name="July'25" dataDxfId="15" dataCellStyle="Comma"/>
    <tableColumn id="9" xr3:uid="{458A093B-9CAE-4F30-A016-5FD66FC21EAC}" name="August'25" dataDxfId="14" dataCellStyle="Comma"/>
    <tableColumn id="10" xr3:uid="{E6397879-A538-42CE-9AF7-4EF52A090CB3}" name="September'25" dataDxfId="13" dataCellStyle="Comma"/>
    <tableColumn id="11" xr3:uid="{3E4D3597-1F76-43A9-B95D-445D4C4E2357}" name="October'25" dataDxfId="12" dataCellStyle="Comma"/>
    <tableColumn id="12" xr3:uid="{65D1B98D-7D9C-4325-B1F7-C60DA0526D86}" name="November'25" dataDxfId="11" dataCellStyle="Comma"/>
    <tableColumn id="13" xr3:uid="{64BC7A1C-8BD8-43C9-BB27-7CFDEC0CD569}" name="December'25" dataDxfId="10" dataCellStyle="Comma"/>
    <tableColumn id="14" xr3:uid="{7899AC9E-A97F-4C30-99AD-65585A1F522F}" name="January'26" dataDxfId="9" dataCellStyle="Comma"/>
    <tableColumn id="15" xr3:uid="{BA0D045C-A0EE-4F7D-8CCC-5C1720ADC3AA}" name="February'26" dataDxfId="8" dataCellStyle="Comma"/>
    <tableColumn id="16" xr3:uid="{ED87C208-7E42-4AB1-ADD9-08FD066E866C}" name="March'26" dataDxfId="7" dataCellStyle="Comma"/>
    <tableColumn id="17" xr3:uid="{8AF18207-8457-40D6-9592-E58C40571AC4}" name="April'26" dataDxfId="6" dataCellStyle="Comma"/>
    <tableColumn id="18" xr3:uid="{060769A5-497E-4C04-BE5C-57E2CE6611CC}" name="May'26" dataDxfId="5" dataCellStyle="Comma"/>
    <tableColumn id="19" xr3:uid="{2E31C905-E375-40E8-8F9F-3177E3008094}" name="Jun'26" dataDxfId="4" dataCellStyle="Comma"/>
    <tableColumn id="20" xr3:uid="{6639871D-57FF-41DF-93DA-E83CBDDD644D}" name="July'25 to June'26 Collection" dataDxfId="3" dataCellStyle="Comma">
      <calculatedColumnFormula>SUM(H2:S2)</calculatedColumnFormula>
    </tableColumn>
    <tableColumn id="21" xr3:uid="{933B32C8-9B97-4CF3-A92C-2DD188257FC7}" name="Current Balance" dataDxfId="2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692F-8CA5-4D4C-B19B-791F36CCE002}">
  <dimension ref="A1:U50"/>
  <sheetViews>
    <sheetView tabSelected="1" topLeftCell="A34" workbookViewId="0">
      <selection activeCell="B60" sqref="B60"/>
    </sheetView>
  </sheetViews>
  <sheetFormatPr defaultRowHeight="15" x14ac:dyDescent="0.25"/>
  <cols>
    <col min="1" max="1" width="8.28515625" style="19" bestFit="1" customWidth="1"/>
    <col min="2" max="2" width="26.42578125" style="19" bestFit="1" customWidth="1"/>
    <col min="3" max="3" width="9" style="19" bestFit="1" customWidth="1"/>
    <col min="4" max="4" width="24.28515625" style="19" bestFit="1" customWidth="1"/>
    <col min="5" max="6" width="12.7109375" style="19" bestFit="1" customWidth="1"/>
    <col min="7" max="7" width="13.7109375" style="19" bestFit="1" customWidth="1"/>
    <col min="8" max="8" width="12.85546875" style="19" bestFit="1" customWidth="1"/>
    <col min="9" max="9" width="15.5703125" style="19" bestFit="1" customWidth="1"/>
    <col min="10" max="10" width="19.42578125" style="19" bestFit="1" customWidth="1"/>
    <col min="11" max="11" width="16.5703125" style="19" bestFit="1" customWidth="1"/>
    <col min="12" max="12" width="19" style="19" bestFit="1" customWidth="1"/>
    <col min="13" max="13" width="18.7109375" style="19" bestFit="1" customWidth="1"/>
    <col min="14" max="14" width="16.140625" style="19" bestFit="1" customWidth="1"/>
    <col min="15" max="15" width="17.28515625" style="19" bestFit="1" customWidth="1"/>
    <col min="16" max="16" width="14.85546875" style="19" bestFit="1" customWidth="1"/>
    <col min="17" max="17" width="13.7109375" style="19" bestFit="1" customWidth="1"/>
    <col min="18" max="18" width="13.140625" style="19" bestFit="1" customWidth="1"/>
    <col min="19" max="19" width="12.42578125" style="19" bestFit="1" customWidth="1"/>
    <col min="20" max="20" width="13.42578125" style="19" bestFit="1" customWidth="1"/>
    <col min="21" max="21" width="12.7109375" style="19" bestFit="1" customWidth="1"/>
    <col min="22" max="16384" width="9.140625" style="19"/>
  </cols>
  <sheetData>
    <row r="1" spans="1:21" ht="47.25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7" t="s">
        <v>20</v>
      </c>
    </row>
    <row r="2" spans="1:21" ht="30" x14ac:dyDescent="0.25">
      <c r="A2" s="20">
        <v>1</v>
      </c>
      <c r="B2" s="8" t="s">
        <v>21</v>
      </c>
      <c r="C2" s="8">
        <v>87</v>
      </c>
      <c r="D2" s="9" t="s">
        <v>22</v>
      </c>
      <c r="E2" s="21" t="s">
        <v>23</v>
      </c>
      <c r="F2" s="14">
        <f>150000+150000</f>
        <v>300000</v>
      </c>
      <c r="G2" s="15">
        <v>137763</v>
      </c>
      <c r="H2" s="16">
        <v>4500</v>
      </c>
      <c r="I2" s="16">
        <v>4500</v>
      </c>
      <c r="J2" s="16">
        <v>4500</v>
      </c>
      <c r="K2" s="16">
        <v>4500</v>
      </c>
      <c r="L2" s="16">
        <v>4500</v>
      </c>
      <c r="M2" s="16">
        <v>4500</v>
      </c>
      <c r="N2" s="16">
        <v>4500</v>
      </c>
      <c r="O2" s="16">
        <v>4500</v>
      </c>
      <c r="P2" s="16">
        <v>4500</v>
      </c>
      <c r="Q2" s="16">
        <v>4500</v>
      </c>
      <c r="R2" s="16">
        <v>4500</v>
      </c>
      <c r="S2" s="16"/>
      <c r="T2" s="17">
        <f t="shared" ref="T2:T27" si="0">SUM(H2:S2)</f>
        <v>49500</v>
      </c>
      <c r="U2" s="18">
        <f t="shared" ref="U2:U6" si="1">G2-T2</f>
        <v>88263</v>
      </c>
    </row>
    <row r="3" spans="1:21" ht="15.75" x14ac:dyDescent="0.25">
      <c r="A3" s="20">
        <v>2</v>
      </c>
      <c r="B3" s="8" t="s">
        <v>24</v>
      </c>
      <c r="C3" s="8">
        <v>253</v>
      </c>
      <c r="D3" s="9" t="s">
        <v>25</v>
      </c>
      <c r="E3" s="22">
        <v>44504</v>
      </c>
      <c r="F3" s="14">
        <v>90000</v>
      </c>
      <c r="G3" s="15">
        <v>22750</v>
      </c>
      <c r="H3" s="16">
        <v>2000</v>
      </c>
      <c r="I3" s="16">
        <v>2000</v>
      </c>
      <c r="J3" s="16">
        <v>2000</v>
      </c>
      <c r="K3" s="16">
        <v>2000</v>
      </c>
      <c r="L3" s="16">
        <v>2000</v>
      </c>
      <c r="M3" s="16">
        <v>2000</v>
      </c>
      <c r="N3" s="16">
        <v>2000</v>
      </c>
      <c r="O3" s="16">
        <v>2000</v>
      </c>
      <c r="P3" s="16">
        <v>2000</v>
      </c>
      <c r="Q3" s="16">
        <v>2000</v>
      </c>
      <c r="R3" s="16">
        <v>2000</v>
      </c>
      <c r="S3" s="16"/>
      <c r="T3" s="17">
        <f t="shared" si="0"/>
        <v>22000</v>
      </c>
      <c r="U3" s="18">
        <f t="shared" si="1"/>
        <v>750</v>
      </c>
    </row>
    <row r="4" spans="1:21" ht="15.75" x14ac:dyDescent="0.25">
      <c r="A4" s="20">
        <v>3</v>
      </c>
      <c r="B4" s="8" t="s">
        <v>26</v>
      </c>
      <c r="C4" s="8">
        <v>335</v>
      </c>
      <c r="D4" s="9" t="s">
        <v>27</v>
      </c>
      <c r="E4" s="22">
        <v>44681</v>
      </c>
      <c r="F4" s="14">
        <v>150000</v>
      </c>
      <c r="G4" s="15">
        <v>54340</v>
      </c>
      <c r="H4" s="16">
        <v>3000</v>
      </c>
      <c r="I4" s="16">
        <v>3000</v>
      </c>
      <c r="J4" s="16">
        <v>3000</v>
      </c>
      <c r="K4" s="16">
        <v>3000</v>
      </c>
      <c r="L4" s="16">
        <v>3000</v>
      </c>
      <c r="M4" s="16">
        <v>3000</v>
      </c>
      <c r="N4" s="16">
        <v>3000</v>
      </c>
      <c r="O4" s="16">
        <v>3000</v>
      </c>
      <c r="P4" s="16">
        <v>3000</v>
      </c>
      <c r="Q4" s="16">
        <v>3000</v>
      </c>
      <c r="R4" s="16">
        <v>3000</v>
      </c>
      <c r="S4" s="16"/>
      <c r="T4" s="17">
        <f t="shared" si="0"/>
        <v>33000</v>
      </c>
      <c r="U4" s="18">
        <f t="shared" si="1"/>
        <v>21340</v>
      </c>
    </row>
    <row r="5" spans="1:21" ht="15.75" x14ac:dyDescent="0.25">
      <c r="A5" s="20">
        <v>4</v>
      </c>
      <c r="B5" s="9" t="s">
        <v>28</v>
      </c>
      <c r="C5" s="10">
        <v>280</v>
      </c>
      <c r="D5" s="9" t="s">
        <v>25</v>
      </c>
      <c r="E5" s="22">
        <v>44787</v>
      </c>
      <c r="F5" s="14">
        <v>90000</v>
      </c>
      <c r="G5" s="15">
        <v>34000</v>
      </c>
      <c r="H5" s="16">
        <v>2000</v>
      </c>
      <c r="I5" s="16">
        <v>2000</v>
      </c>
      <c r="J5" s="16">
        <v>2000</v>
      </c>
      <c r="K5" s="16">
        <v>2000</v>
      </c>
      <c r="L5" s="16">
        <v>2000</v>
      </c>
      <c r="M5" s="16">
        <v>2000</v>
      </c>
      <c r="N5" s="16">
        <v>2000</v>
      </c>
      <c r="O5" s="16">
        <v>2000</v>
      </c>
      <c r="P5" s="16">
        <v>2000</v>
      </c>
      <c r="Q5" s="16">
        <v>2000</v>
      </c>
      <c r="R5" s="16">
        <v>2000</v>
      </c>
      <c r="S5" s="16"/>
      <c r="T5" s="17">
        <f t="shared" si="0"/>
        <v>22000</v>
      </c>
      <c r="U5" s="18">
        <f t="shared" si="1"/>
        <v>12000</v>
      </c>
    </row>
    <row r="6" spans="1:21" ht="15.75" x14ac:dyDescent="0.25">
      <c r="A6" s="20">
        <v>5</v>
      </c>
      <c r="B6" s="9" t="s">
        <v>29</v>
      </c>
      <c r="C6" s="11">
        <v>513</v>
      </c>
      <c r="D6" s="9" t="s">
        <v>27</v>
      </c>
      <c r="E6" s="22">
        <v>44822</v>
      </c>
      <c r="F6" s="14">
        <v>150000</v>
      </c>
      <c r="G6" s="15">
        <v>64755</v>
      </c>
      <c r="H6" s="16">
        <v>3000</v>
      </c>
      <c r="I6" s="16">
        <v>3000</v>
      </c>
      <c r="J6" s="16">
        <v>3000</v>
      </c>
      <c r="K6" s="16">
        <v>3000</v>
      </c>
      <c r="L6" s="16">
        <v>3000</v>
      </c>
      <c r="M6" s="16">
        <v>3000</v>
      </c>
      <c r="N6" s="16">
        <v>3000</v>
      </c>
      <c r="O6" s="16">
        <v>3000</v>
      </c>
      <c r="P6" s="16">
        <v>3000</v>
      </c>
      <c r="Q6" s="16">
        <v>3000</v>
      </c>
      <c r="R6" s="16">
        <v>3000</v>
      </c>
      <c r="S6" s="16"/>
      <c r="T6" s="17">
        <f t="shared" si="0"/>
        <v>33000</v>
      </c>
      <c r="U6" s="18">
        <f t="shared" si="1"/>
        <v>31755</v>
      </c>
    </row>
    <row r="7" spans="1:21" ht="15.75" x14ac:dyDescent="0.25">
      <c r="A7" s="20">
        <v>6</v>
      </c>
      <c r="B7" s="9" t="s">
        <v>30</v>
      </c>
      <c r="C7" s="9">
        <v>109</v>
      </c>
      <c r="D7" s="9" t="s">
        <v>27</v>
      </c>
      <c r="E7" s="22">
        <v>45055</v>
      </c>
      <c r="F7" s="14">
        <v>150000</v>
      </c>
      <c r="G7" s="15">
        <v>81419</v>
      </c>
      <c r="H7" s="16">
        <v>3000</v>
      </c>
      <c r="I7" s="16">
        <v>3000</v>
      </c>
      <c r="J7" s="16">
        <v>3000</v>
      </c>
      <c r="K7" s="16">
        <v>3000</v>
      </c>
      <c r="L7" s="16">
        <v>3000</v>
      </c>
      <c r="M7" s="16">
        <v>3000</v>
      </c>
      <c r="N7" s="16">
        <v>3000</v>
      </c>
      <c r="O7" s="16">
        <v>3000</v>
      </c>
      <c r="P7" s="16">
        <v>3000</v>
      </c>
      <c r="Q7" s="16">
        <v>3000</v>
      </c>
      <c r="R7" s="16">
        <v>3000</v>
      </c>
      <c r="S7" s="16"/>
      <c r="T7" s="17">
        <f t="shared" si="0"/>
        <v>33000</v>
      </c>
      <c r="U7" s="18">
        <f>G7-T7</f>
        <v>48419</v>
      </c>
    </row>
    <row r="8" spans="1:21" ht="15.75" x14ac:dyDescent="0.25">
      <c r="A8" s="20">
        <v>7</v>
      </c>
      <c r="B8" s="9" t="s">
        <v>31</v>
      </c>
      <c r="C8" s="9">
        <v>309</v>
      </c>
      <c r="D8" s="9" t="s">
        <v>32</v>
      </c>
      <c r="E8" s="22">
        <v>45258</v>
      </c>
      <c r="F8" s="14">
        <v>150000</v>
      </c>
      <c r="G8" s="15">
        <v>93917</v>
      </c>
      <c r="H8" s="16">
        <v>3000</v>
      </c>
      <c r="I8" s="16">
        <v>3000</v>
      </c>
      <c r="J8" s="16">
        <v>3000</v>
      </c>
      <c r="K8" s="16">
        <v>3000</v>
      </c>
      <c r="L8" s="16">
        <v>3000</v>
      </c>
      <c r="M8" s="16">
        <v>3000</v>
      </c>
      <c r="N8" s="16">
        <v>3000</v>
      </c>
      <c r="O8" s="16">
        <v>3000</v>
      </c>
      <c r="P8" s="16">
        <v>3000</v>
      </c>
      <c r="Q8" s="16">
        <v>3000</v>
      </c>
      <c r="R8" s="16">
        <v>3000</v>
      </c>
      <c r="S8" s="16"/>
      <c r="T8" s="17">
        <f t="shared" si="0"/>
        <v>33000</v>
      </c>
      <c r="U8" s="18">
        <f t="shared" ref="U8:U26" si="2">G8-T8</f>
        <v>60917</v>
      </c>
    </row>
    <row r="9" spans="1:21" ht="15.75" x14ac:dyDescent="0.25">
      <c r="A9" s="20">
        <v>8</v>
      </c>
      <c r="B9" s="9" t="s">
        <v>33</v>
      </c>
      <c r="C9" s="9">
        <v>632</v>
      </c>
      <c r="D9" s="9" t="s">
        <v>34</v>
      </c>
      <c r="E9" s="22">
        <v>45259</v>
      </c>
      <c r="F9" s="14">
        <v>100000</v>
      </c>
      <c r="G9" s="15">
        <v>64000</v>
      </c>
      <c r="H9" s="16">
        <v>2000</v>
      </c>
      <c r="I9" s="16">
        <v>2000</v>
      </c>
      <c r="J9" s="16">
        <v>2000</v>
      </c>
      <c r="K9" s="16">
        <v>2000</v>
      </c>
      <c r="L9" s="16">
        <v>2000</v>
      </c>
      <c r="M9" s="16">
        <v>2000</v>
      </c>
      <c r="N9" s="16">
        <v>2000</v>
      </c>
      <c r="O9" s="16">
        <v>2000</v>
      </c>
      <c r="P9" s="16">
        <v>2000</v>
      </c>
      <c r="Q9" s="16">
        <v>2000</v>
      </c>
      <c r="R9" s="16">
        <v>2000</v>
      </c>
      <c r="S9" s="16"/>
      <c r="T9" s="17">
        <f t="shared" si="0"/>
        <v>22000</v>
      </c>
      <c r="U9" s="18">
        <f t="shared" si="2"/>
        <v>42000</v>
      </c>
    </row>
    <row r="10" spans="1:21" ht="15.75" x14ac:dyDescent="0.25">
      <c r="A10" s="20">
        <v>9</v>
      </c>
      <c r="B10" s="23" t="s">
        <v>35</v>
      </c>
      <c r="C10" s="24">
        <v>763</v>
      </c>
      <c r="D10" s="24" t="s">
        <v>36</v>
      </c>
      <c r="E10" s="22">
        <v>45306</v>
      </c>
      <c r="F10" s="14">
        <v>150000</v>
      </c>
      <c r="G10" s="15">
        <v>52000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/>
      <c r="T10" s="17">
        <f t="shared" si="0"/>
        <v>0</v>
      </c>
      <c r="U10" s="18">
        <f t="shared" si="2"/>
        <v>52000</v>
      </c>
    </row>
    <row r="11" spans="1:21" ht="15.75" x14ac:dyDescent="0.25">
      <c r="A11" s="20">
        <v>10</v>
      </c>
      <c r="B11" s="23" t="s">
        <v>37</v>
      </c>
      <c r="C11" s="24"/>
      <c r="D11" s="24" t="s">
        <v>38</v>
      </c>
      <c r="E11" s="22">
        <v>45421</v>
      </c>
      <c r="F11" s="14">
        <v>150000</v>
      </c>
      <c r="G11" s="15">
        <v>108000</v>
      </c>
      <c r="H11" s="16">
        <v>3000</v>
      </c>
      <c r="I11" s="16">
        <v>3000</v>
      </c>
      <c r="J11" s="16">
        <v>3000</v>
      </c>
      <c r="K11" s="16">
        <v>3000</v>
      </c>
      <c r="L11" s="16">
        <v>3000</v>
      </c>
      <c r="M11" s="16">
        <v>3000</v>
      </c>
      <c r="N11" s="16">
        <v>3000</v>
      </c>
      <c r="O11" s="16">
        <v>3000</v>
      </c>
      <c r="P11" s="16">
        <v>3000</v>
      </c>
      <c r="Q11" s="16">
        <v>3000</v>
      </c>
      <c r="R11" s="16">
        <v>3000</v>
      </c>
      <c r="S11" s="16"/>
      <c r="T11" s="17">
        <f t="shared" si="0"/>
        <v>33000</v>
      </c>
      <c r="U11" s="18">
        <f t="shared" si="2"/>
        <v>75000</v>
      </c>
    </row>
    <row r="12" spans="1:21" ht="15.75" x14ac:dyDescent="0.25">
      <c r="A12" s="20">
        <v>11</v>
      </c>
      <c r="B12" s="9" t="s">
        <v>39</v>
      </c>
      <c r="C12" s="9">
        <v>386</v>
      </c>
      <c r="D12" s="9" t="s">
        <v>40</v>
      </c>
      <c r="E12" s="22">
        <v>45441</v>
      </c>
      <c r="F12" s="14">
        <v>150000</v>
      </c>
      <c r="G12" s="15">
        <v>111000</v>
      </c>
      <c r="H12" s="16">
        <v>3000</v>
      </c>
      <c r="I12" s="16">
        <v>3000</v>
      </c>
      <c r="J12" s="16">
        <v>3000</v>
      </c>
      <c r="K12" s="16">
        <v>3000</v>
      </c>
      <c r="L12" s="16">
        <v>3000</v>
      </c>
      <c r="M12" s="16">
        <v>3000</v>
      </c>
      <c r="N12" s="16">
        <v>3000</v>
      </c>
      <c r="O12" s="14">
        <v>3000</v>
      </c>
      <c r="P12" s="14">
        <v>3000</v>
      </c>
      <c r="Q12" s="14">
        <v>3000</v>
      </c>
      <c r="R12" s="14">
        <v>3000</v>
      </c>
      <c r="S12" s="16"/>
      <c r="T12" s="17">
        <f t="shared" si="0"/>
        <v>33000</v>
      </c>
      <c r="U12" s="18">
        <f t="shared" si="2"/>
        <v>78000</v>
      </c>
    </row>
    <row r="13" spans="1:21" ht="15.75" x14ac:dyDescent="0.25">
      <c r="A13" s="20">
        <v>12</v>
      </c>
      <c r="B13" s="8" t="s">
        <v>41</v>
      </c>
      <c r="C13" s="8">
        <v>98</v>
      </c>
      <c r="D13" s="9" t="s">
        <v>22</v>
      </c>
      <c r="E13" s="22">
        <v>45554</v>
      </c>
      <c r="F13" s="14">
        <v>150000</v>
      </c>
      <c r="G13" s="15">
        <v>120000</v>
      </c>
      <c r="H13" s="16">
        <v>3000</v>
      </c>
      <c r="I13" s="16">
        <v>3000</v>
      </c>
      <c r="J13" s="16">
        <v>3000</v>
      </c>
      <c r="K13" s="16">
        <v>3000</v>
      </c>
      <c r="L13" s="16">
        <v>3000</v>
      </c>
      <c r="M13" s="16">
        <v>3000</v>
      </c>
      <c r="N13" s="16">
        <v>3000</v>
      </c>
      <c r="O13" s="14">
        <v>3000</v>
      </c>
      <c r="P13" s="14">
        <v>3000</v>
      </c>
      <c r="Q13" s="14">
        <v>3000</v>
      </c>
      <c r="R13" s="14">
        <v>3000</v>
      </c>
      <c r="S13" s="16"/>
      <c r="T13" s="17">
        <f t="shared" si="0"/>
        <v>33000</v>
      </c>
      <c r="U13" s="18">
        <f t="shared" si="2"/>
        <v>87000</v>
      </c>
    </row>
    <row r="14" spans="1:21" ht="15.75" x14ac:dyDescent="0.25">
      <c r="A14" s="20">
        <v>13</v>
      </c>
      <c r="B14" s="23" t="s">
        <v>42</v>
      </c>
      <c r="C14" s="24"/>
      <c r="D14" s="24" t="s">
        <v>43</v>
      </c>
      <c r="E14" s="22">
        <v>45554</v>
      </c>
      <c r="F14" s="14">
        <v>150000</v>
      </c>
      <c r="G14" s="15">
        <v>120000</v>
      </c>
      <c r="H14" s="16">
        <v>3000</v>
      </c>
      <c r="I14" s="16">
        <v>3000</v>
      </c>
      <c r="J14" s="16">
        <v>3000</v>
      </c>
      <c r="K14" s="16">
        <v>3000</v>
      </c>
      <c r="L14" s="16">
        <v>3000</v>
      </c>
      <c r="M14" s="16">
        <v>3000</v>
      </c>
      <c r="N14" s="16">
        <v>3000</v>
      </c>
      <c r="O14" s="16">
        <v>3000</v>
      </c>
      <c r="P14" s="16">
        <v>3000</v>
      </c>
      <c r="Q14" s="16">
        <v>3000</v>
      </c>
      <c r="R14" s="16">
        <v>3000</v>
      </c>
      <c r="S14" s="16"/>
      <c r="T14" s="17">
        <f t="shared" si="0"/>
        <v>33000</v>
      </c>
      <c r="U14" s="18">
        <f t="shared" si="2"/>
        <v>87000</v>
      </c>
    </row>
    <row r="15" spans="1:21" ht="15.75" x14ac:dyDescent="0.25">
      <c r="A15" s="20">
        <v>14</v>
      </c>
      <c r="B15" s="9" t="s">
        <v>44</v>
      </c>
      <c r="C15" s="9">
        <v>918</v>
      </c>
      <c r="D15" s="9" t="s">
        <v>45</v>
      </c>
      <c r="E15" s="25">
        <v>45572</v>
      </c>
      <c r="F15" s="26">
        <v>150000</v>
      </c>
      <c r="G15" s="27">
        <v>123000</v>
      </c>
      <c r="H15" s="28">
        <v>3000</v>
      </c>
      <c r="I15" s="28">
        <v>3000</v>
      </c>
      <c r="J15" s="28">
        <v>3000</v>
      </c>
      <c r="K15" s="28">
        <v>3000</v>
      </c>
      <c r="L15" s="28">
        <v>3000</v>
      </c>
      <c r="M15" s="28">
        <v>3000</v>
      </c>
      <c r="N15" s="28">
        <v>3000</v>
      </c>
      <c r="O15" s="28">
        <v>3000</v>
      </c>
      <c r="P15" s="28">
        <v>3000</v>
      </c>
      <c r="Q15" s="28">
        <v>3000</v>
      </c>
      <c r="R15" s="28">
        <v>3000</v>
      </c>
      <c r="S15" s="28"/>
      <c r="T15" s="17">
        <f t="shared" si="0"/>
        <v>33000</v>
      </c>
      <c r="U15" s="18">
        <f t="shared" si="2"/>
        <v>90000</v>
      </c>
    </row>
    <row r="16" spans="1:21" ht="15.75" x14ac:dyDescent="0.25">
      <c r="A16" s="20">
        <v>15</v>
      </c>
      <c r="B16" s="29" t="s">
        <v>46</v>
      </c>
      <c r="C16" s="30">
        <v>771</v>
      </c>
      <c r="D16" s="30" t="s">
        <v>32</v>
      </c>
      <c r="E16" s="22">
        <v>45662</v>
      </c>
      <c r="F16" s="14">
        <v>150000</v>
      </c>
      <c r="G16" s="15">
        <v>132000</v>
      </c>
      <c r="H16" s="16">
        <v>3000</v>
      </c>
      <c r="I16" s="16">
        <v>3000</v>
      </c>
      <c r="J16" s="16">
        <v>3000</v>
      </c>
      <c r="K16" s="16">
        <v>3000</v>
      </c>
      <c r="L16" s="16">
        <v>3000</v>
      </c>
      <c r="M16" s="16">
        <v>3000</v>
      </c>
      <c r="N16" s="16">
        <v>3000</v>
      </c>
      <c r="O16" s="16">
        <v>3000</v>
      </c>
      <c r="P16" s="16">
        <v>3000</v>
      </c>
      <c r="Q16" s="16">
        <v>3000</v>
      </c>
      <c r="R16" s="16">
        <v>3000</v>
      </c>
      <c r="S16" s="16"/>
      <c r="T16" s="17">
        <f t="shared" si="0"/>
        <v>33000</v>
      </c>
      <c r="U16" s="18">
        <f t="shared" si="2"/>
        <v>99000</v>
      </c>
    </row>
    <row r="17" spans="1:21" ht="15.75" x14ac:dyDescent="0.25">
      <c r="A17" s="20">
        <v>16</v>
      </c>
      <c r="B17" s="29" t="s">
        <v>47</v>
      </c>
      <c r="C17" s="30">
        <v>742</v>
      </c>
      <c r="D17" s="9" t="s">
        <v>27</v>
      </c>
      <c r="E17" s="22">
        <v>45663</v>
      </c>
      <c r="F17" s="14">
        <v>150000</v>
      </c>
      <c r="G17" s="15">
        <v>132000</v>
      </c>
      <c r="H17" s="16">
        <v>3000</v>
      </c>
      <c r="I17" s="16">
        <v>3000</v>
      </c>
      <c r="J17" s="16">
        <v>3000</v>
      </c>
      <c r="K17" s="16">
        <v>3000</v>
      </c>
      <c r="L17" s="16">
        <v>3000</v>
      </c>
      <c r="M17" s="16">
        <v>3000</v>
      </c>
      <c r="N17" s="16">
        <v>3000</v>
      </c>
      <c r="O17" s="16">
        <v>3000</v>
      </c>
      <c r="P17" s="16">
        <v>3000</v>
      </c>
      <c r="Q17" s="16">
        <v>3000</v>
      </c>
      <c r="R17" s="16">
        <v>3000</v>
      </c>
      <c r="S17" s="16"/>
      <c r="T17" s="17">
        <f t="shared" si="0"/>
        <v>33000</v>
      </c>
      <c r="U17" s="18">
        <f t="shared" si="2"/>
        <v>99000</v>
      </c>
    </row>
    <row r="18" spans="1:21" ht="15.75" x14ac:dyDescent="0.25">
      <c r="A18" s="20">
        <v>17</v>
      </c>
      <c r="B18" s="29" t="s">
        <v>48</v>
      </c>
      <c r="C18" s="30">
        <v>95</v>
      </c>
      <c r="D18" s="12" t="s">
        <v>49</v>
      </c>
      <c r="E18" s="22">
        <v>45690</v>
      </c>
      <c r="F18" s="14">
        <v>150000</v>
      </c>
      <c r="G18" s="15">
        <v>135000</v>
      </c>
      <c r="H18" s="16">
        <v>3000</v>
      </c>
      <c r="I18" s="16">
        <v>3000</v>
      </c>
      <c r="J18" s="16">
        <v>3000</v>
      </c>
      <c r="K18" s="16">
        <v>3000</v>
      </c>
      <c r="L18" s="16">
        <v>3000</v>
      </c>
      <c r="M18" s="16">
        <v>3000</v>
      </c>
      <c r="N18" s="16">
        <v>3000</v>
      </c>
      <c r="O18" s="16">
        <v>3000</v>
      </c>
      <c r="P18" s="16">
        <v>3000</v>
      </c>
      <c r="Q18" s="16">
        <v>3000</v>
      </c>
      <c r="R18" s="16">
        <v>3000</v>
      </c>
      <c r="S18" s="16"/>
      <c r="T18" s="17">
        <f t="shared" si="0"/>
        <v>33000</v>
      </c>
      <c r="U18" s="18">
        <f t="shared" si="2"/>
        <v>102000</v>
      </c>
    </row>
    <row r="19" spans="1:21" ht="15.75" x14ac:dyDescent="0.25">
      <c r="A19" s="20">
        <v>18</v>
      </c>
      <c r="B19" s="29" t="s">
        <v>50</v>
      </c>
      <c r="C19" s="9">
        <v>204</v>
      </c>
      <c r="D19" s="9" t="s">
        <v>27</v>
      </c>
      <c r="E19" s="25">
        <v>45728</v>
      </c>
      <c r="F19" s="26">
        <v>150000</v>
      </c>
      <c r="G19" s="27">
        <v>138000</v>
      </c>
      <c r="H19" s="28">
        <v>3000</v>
      </c>
      <c r="I19" s="28">
        <v>3000</v>
      </c>
      <c r="J19" s="28">
        <v>3000</v>
      </c>
      <c r="K19" s="28">
        <v>3000</v>
      </c>
      <c r="L19" s="28">
        <v>3000</v>
      </c>
      <c r="M19" s="28">
        <v>3000</v>
      </c>
      <c r="N19" s="28">
        <v>3000</v>
      </c>
      <c r="O19" s="28">
        <v>3000</v>
      </c>
      <c r="P19" s="28">
        <v>3000</v>
      </c>
      <c r="Q19" s="28">
        <v>3000</v>
      </c>
      <c r="R19" s="28">
        <v>3000</v>
      </c>
      <c r="S19" s="28"/>
      <c r="T19" s="17">
        <f t="shared" si="0"/>
        <v>33000</v>
      </c>
      <c r="U19" s="18">
        <f t="shared" si="2"/>
        <v>105000</v>
      </c>
    </row>
    <row r="20" spans="1:21" ht="15.75" x14ac:dyDescent="0.25">
      <c r="A20" s="20">
        <v>19</v>
      </c>
      <c r="B20" s="9" t="s">
        <v>51</v>
      </c>
      <c r="C20" s="9">
        <v>63</v>
      </c>
      <c r="D20" s="9" t="s">
        <v>52</v>
      </c>
      <c r="E20" s="25">
        <v>45741</v>
      </c>
      <c r="F20" s="26">
        <v>150000</v>
      </c>
      <c r="G20" s="27">
        <v>138000</v>
      </c>
      <c r="H20" s="28">
        <v>3000</v>
      </c>
      <c r="I20" s="28">
        <v>3000</v>
      </c>
      <c r="J20" s="28">
        <v>3000</v>
      </c>
      <c r="K20" s="28">
        <v>3000</v>
      </c>
      <c r="L20" s="28">
        <v>3000</v>
      </c>
      <c r="M20" s="28">
        <v>3000</v>
      </c>
      <c r="N20" s="28">
        <v>3000</v>
      </c>
      <c r="O20" s="28">
        <v>3000</v>
      </c>
      <c r="P20" s="28">
        <v>3000</v>
      </c>
      <c r="Q20" s="28">
        <v>3000</v>
      </c>
      <c r="R20" s="28">
        <v>3000</v>
      </c>
      <c r="S20" s="28"/>
      <c r="T20" s="17">
        <f t="shared" si="0"/>
        <v>33000</v>
      </c>
      <c r="U20" s="18">
        <f t="shared" si="2"/>
        <v>105000</v>
      </c>
    </row>
    <row r="21" spans="1:21" ht="15.75" x14ac:dyDescent="0.25">
      <c r="A21" s="20">
        <v>20</v>
      </c>
      <c r="B21" s="12" t="s">
        <v>53</v>
      </c>
      <c r="C21" s="12">
        <v>823</v>
      </c>
      <c r="D21" s="13" t="s">
        <v>54</v>
      </c>
      <c r="E21" s="25">
        <v>45762</v>
      </c>
      <c r="F21" s="26">
        <v>150000</v>
      </c>
      <c r="G21" s="27">
        <v>141000</v>
      </c>
      <c r="H21" s="28">
        <v>3000</v>
      </c>
      <c r="I21" s="28">
        <v>3000</v>
      </c>
      <c r="J21" s="28">
        <v>3000</v>
      </c>
      <c r="K21" s="28">
        <v>3000</v>
      </c>
      <c r="L21" s="28">
        <v>3000</v>
      </c>
      <c r="M21" s="28">
        <v>3000</v>
      </c>
      <c r="N21" s="28">
        <v>3000</v>
      </c>
      <c r="O21" s="26">
        <v>3000</v>
      </c>
      <c r="P21" s="26">
        <v>3000</v>
      </c>
      <c r="Q21" s="26">
        <v>3000</v>
      </c>
      <c r="R21" s="26">
        <v>3000</v>
      </c>
      <c r="S21" s="28"/>
      <c r="T21" s="17">
        <f t="shared" si="0"/>
        <v>33000</v>
      </c>
      <c r="U21" s="18">
        <f t="shared" si="2"/>
        <v>108000</v>
      </c>
    </row>
    <row r="22" spans="1:21" ht="15.75" x14ac:dyDescent="0.25">
      <c r="A22" s="20">
        <v>21</v>
      </c>
      <c r="B22" s="12" t="s">
        <v>55</v>
      </c>
      <c r="C22" s="12"/>
      <c r="D22" s="13" t="s">
        <v>56</v>
      </c>
      <c r="E22" s="25">
        <v>45782</v>
      </c>
      <c r="F22" s="26">
        <v>150000</v>
      </c>
      <c r="G22" s="27">
        <v>144000</v>
      </c>
      <c r="H22" s="28">
        <v>3000</v>
      </c>
      <c r="I22" s="28">
        <v>3000</v>
      </c>
      <c r="J22" s="28">
        <v>3000</v>
      </c>
      <c r="K22" s="28">
        <v>3000</v>
      </c>
      <c r="L22" s="28">
        <v>3000</v>
      </c>
      <c r="M22" s="28">
        <v>3000</v>
      </c>
      <c r="N22" s="28">
        <v>3000</v>
      </c>
      <c r="O22" s="28">
        <v>3000</v>
      </c>
      <c r="P22" s="28">
        <v>3000</v>
      </c>
      <c r="Q22" s="28">
        <v>3000</v>
      </c>
      <c r="R22" s="28">
        <v>3000</v>
      </c>
      <c r="S22" s="28"/>
      <c r="T22" s="17">
        <f t="shared" si="0"/>
        <v>33000</v>
      </c>
      <c r="U22" s="18">
        <f t="shared" si="2"/>
        <v>111000</v>
      </c>
    </row>
    <row r="23" spans="1:21" ht="15.75" x14ac:dyDescent="0.25">
      <c r="A23" s="20">
        <v>22</v>
      </c>
      <c r="B23" s="9" t="s">
        <v>57</v>
      </c>
      <c r="C23" s="9">
        <v>73</v>
      </c>
      <c r="D23" s="9" t="s">
        <v>32</v>
      </c>
      <c r="E23" s="25">
        <v>45782</v>
      </c>
      <c r="F23" s="26">
        <v>150000</v>
      </c>
      <c r="G23" s="27">
        <v>144000</v>
      </c>
      <c r="H23" s="28">
        <v>3000</v>
      </c>
      <c r="I23" s="28">
        <v>3000</v>
      </c>
      <c r="J23" s="28">
        <v>3000</v>
      </c>
      <c r="K23" s="28">
        <v>3000</v>
      </c>
      <c r="L23" s="28">
        <v>3000</v>
      </c>
      <c r="M23" s="28">
        <v>3000</v>
      </c>
      <c r="N23" s="28">
        <v>3000</v>
      </c>
      <c r="O23" s="28">
        <v>3000</v>
      </c>
      <c r="P23" s="28">
        <v>3000</v>
      </c>
      <c r="Q23" s="28">
        <v>3000</v>
      </c>
      <c r="R23" s="28">
        <v>3000</v>
      </c>
      <c r="S23" s="28"/>
      <c r="T23" s="17">
        <f t="shared" si="0"/>
        <v>33000</v>
      </c>
      <c r="U23" s="18">
        <f t="shared" si="2"/>
        <v>111000</v>
      </c>
    </row>
    <row r="24" spans="1:21" ht="15.75" x14ac:dyDescent="0.25">
      <c r="A24" s="20">
        <v>23</v>
      </c>
      <c r="B24" s="9" t="s">
        <v>58</v>
      </c>
      <c r="C24" s="9">
        <v>872</v>
      </c>
      <c r="D24" s="9" t="s">
        <v>59</v>
      </c>
      <c r="E24" s="22">
        <v>45789</v>
      </c>
      <c r="F24" s="14">
        <v>150000</v>
      </c>
      <c r="G24" s="15">
        <v>144000</v>
      </c>
      <c r="H24" s="28">
        <v>3000</v>
      </c>
      <c r="I24" s="28">
        <v>3000</v>
      </c>
      <c r="J24" s="28">
        <v>3000</v>
      </c>
      <c r="K24" s="28">
        <v>3000</v>
      </c>
      <c r="L24" s="28">
        <v>3000</v>
      </c>
      <c r="M24" s="28">
        <v>3000</v>
      </c>
      <c r="N24" s="28">
        <v>3000</v>
      </c>
      <c r="O24" s="28">
        <v>3000</v>
      </c>
      <c r="P24" s="28">
        <v>3000</v>
      </c>
      <c r="Q24" s="28">
        <v>3000</v>
      </c>
      <c r="R24" s="28">
        <v>3000</v>
      </c>
      <c r="S24" s="28"/>
      <c r="T24" s="17">
        <f t="shared" si="0"/>
        <v>33000</v>
      </c>
      <c r="U24" s="18">
        <f t="shared" si="2"/>
        <v>111000</v>
      </c>
    </row>
    <row r="25" spans="1:21" ht="15.75" x14ac:dyDescent="0.25">
      <c r="A25" s="20">
        <v>24</v>
      </c>
      <c r="B25" s="12" t="s">
        <v>60</v>
      </c>
      <c r="C25" s="12">
        <v>168</v>
      </c>
      <c r="D25" s="12" t="s">
        <v>27</v>
      </c>
      <c r="E25" s="25">
        <v>45796</v>
      </c>
      <c r="F25" s="26">
        <v>150000</v>
      </c>
      <c r="G25" s="27">
        <v>144000</v>
      </c>
      <c r="H25" s="28">
        <v>3000</v>
      </c>
      <c r="I25" s="28">
        <v>3000</v>
      </c>
      <c r="J25" s="28">
        <v>3000</v>
      </c>
      <c r="K25" s="28">
        <v>3000</v>
      </c>
      <c r="L25" s="28">
        <v>3000</v>
      </c>
      <c r="M25" s="28">
        <v>3000</v>
      </c>
      <c r="N25" s="28">
        <v>3000</v>
      </c>
      <c r="O25" s="28">
        <v>3000</v>
      </c>
      <c r="P25" s="28">
        <v>3000</v>
      </c>
      <c r="Q25" s="28">
        <v>3000</v>
      </c>
      <c r="R25" s="28">
        <v>3000</v>
      </c>
      <c r="S25" s="28"/>
      <c r="T25" s="17">
        <f t="shared" si="0"/>
        <v>33000</v>
      </c>
      <c r="U25" s="18">
        <f t="shared" si="2"/>
        <v>111000</v>
      </c>
    </row>
    <row r="26" spans="1:21" ht="15.75" x14ac:dyDescent="0.25">
      <c r="A26" s="20">
        <v>25</v>
      </c>
      <c r="B26" s="9" t="s">
        <v>61</v>
      </c>
      <c r="C26" s="9">
        <v>72</v>
      </c>
      <c r="D26" s="9" t="s">
        <v>62</v>
      </c>
      <c r="E26" s="25">
        <v>45811</v>
      </c>
      <c r="F26" s="26">
        <v>150000</v>
      </c>
      <c r="G26" s="27">
        <v>147000</v>
      </c>
      <c r="H26" s="28">
        <v>3000</v>
      </c>
      <c r="I26" s="28">
        <v>3000</v>
      </c>
      <c r="J26" s="28">
        <v>3000</v>
      </c>
      <c r="K26" s="28">
        <v>3000</v>
      </c>
      <c r="L26" s="28">
        <v>3000</v>
      </c>
      <c r="M26" s="28">
        <v>3000</v>
      </c>
      <c r="N26" s="28">
        <v>3000</v>
      </c>
      <c r="O26" s="28">
        <v>3000</v>
      </c>
      <c r="P26" s="28">
        <v>3000</v>
      </c>
      <c r="Q26" s="28">
        <v>3000</v>
      </c>
      <c r="R26" s="28">
        <v>3000</v>
      </c>
      <c r="S26" s="28"/>
      <c r="T26" s="31">
        <f t="shared" si="0"/>
        <v>33000</v>
      </c>
      <c r="U26" s="18">
        <f t="shared" si="2"/>
        <v>114000</v>
      </c>
    </row>
    <row r="27" spans="1:21" ht="15.75" x14ac:dyDescent="0.25">
      <c r="A27" s="20">
        <v>26</v>
      </c>
      <c r="B27" s="9" t="s">
        <v>63</v>
      </c>
      <c r="C27" s="9">
        <v>579</v>
      </c>
      <c r="D27" s="9" t="s">
        <v>32</v>
      </c>
      <c r="E27" s="22">
        <v>45875</v>
      </c>
      <c r="F27" s="14">
        <v>150000</v>
      </c>
      <c r="G27" s="15"/>
      <c r="H27" s="14"/>
      <c r="I27" s="14">
        <v>3000</v>
      </c>
      <c r="J27" s="14">
        <v>3000</v>
      </c>
      <c r="K27" s="14">
        <v>3000</v>
      </c>
      <c r="L27" s="14">
        <v>3000</v>
      </c>
      <c r="M27" s="14">
        <v>3000</v>
      </c>
      <c r="N27" s="14">
        <v>3000</v>
      </c>
      <c r="O27" s="14">
        <v>3000</v>
      </c>
      <c r="P27" s="14">
        <v>3000</v>
      </c>
      <c r="Q27" s="14">
        <v>3000</v>
      </c>
      <c r="R27" s="14">
        <v>3000</v>
      </c>
      <c r="S27" s="16"/>
      <c r="T27" s="31">
        <f t="shared" si="0"/>
        <v>30000</v>
      </c>
      <c r="U27" s="18">
        <f>Table2[[#This Row],[Disbursement Taka]]-T27</f>
        <v>120000</v>
      </c>
    </row>
    <row r="28" spans="1:21" ht="15.75" x14ac:dyDescent="0.25">
      <c r="A28" s="20">
        <v>27</v>
      </c>
      <c r="B28" s="9" t="s">
        <v>64</v>
      </c>
      <c r="C28" s="9">
        <v>769</v>
      </c>
      <c r="D28" s="9" t="s">
        <v>65</v>
      </c>
      <c r="E28" s="22">
        <v>45894</v>
      </c>
      <c r="F28" s="14">
        <v>150000</v>
      </c>
      <c r="G28" s="15"/>
      <c r="H28" s="14"/>
      <c r="I28" s="14">
        <v>3000</v>
      </c>
      <c r="J28" s="14">
        <v>3000</v>
      </c>
      <c r="K28" s="14">
        <v>3000</v>
      </c>
      <c r="L28" s="14">
        <v>3000</v>
      </c>
      <c r="M28" s="14">
        <v>3000</v>
      </c>
      <c r="N28" s="14">
        <v>3000</v>
      </c>
      <c r="O28" s="14">
        <v>3000</v>
      </c>
      <c r="P28" s="14">
        <v>3000</v>
      </c>
      <c r="Q28" s="14">
        <v>3000</v>
      </c>
      <c r="R28" s="14">
        <v>3000</v>
      </c>
      <c r="S28" s="16"/>
      <c r="T28" s="17">
        <f>SUM(H28:S28)</f>
        <v>30000</v>
      </c>
      <c r="U28" s="18">
        <f>Table2[[#This Row],[Disbursement Taka]]-T28</f>
        <v>120000</v>
      </c>
    </row>
    <row r="29" spans="1:21" ht="15.75" x14ac:dyDescent="0.25">
      <c r="A29" s="20">
        <v>28</v>
      </c>
      <c r="B29" s="12" t="s">
        <v>66</v>
      </c>
      <c r="C29" s="12">
        <v>992</v>
      </c>
      <c r="D29" s="12" t="s">
        <v>65</v>
      </c>
      <c r="E29" s="25">
        <v>45908</v>
      </c>
      <c r="F29" s="26">
        <v>150000</v>
      </c>
      <c r="G29" s="27"/>
      <c r="H29" s="26"/>
      <c r="I29" s="26"/>
      <c r="J29" s="26">
        <v>3000</v>
      </c>
      <c r="K29" s="26">
        <v>3000</v>
      </c>
      <c r="L29" s="26">
        <v>3000</v>
      </c>
      <c r="M29" s="26">
        <v>3000</v>
      </c>
      <c r="N29" s="26">
        <v>3000</v>
      </c>
      <c r="O29" s="26">
        <v>3000</v>
      </c>
      <c r="P29" s="26">
        <v>3000</v>
      </c>
      <c r="Q29" s="26">
        <v>3000</v>
      </c>
      <c r="R29" s="26">
        <v>3000</v>
      </c>
      <c r="S29" s="28"/>
      <c r="T29" s="17">
        <f>SUM(H29:S29)</f>
        <v>27000</v>
      </c>
      <c r="U29" s="18">
        <f>Table2[[#This Row],[Disbursement Taka]]-T29</f>
        <v>123000</v>
      </c>
    </row>
    <row r="30" spans="1:21" ht="15.75" x14ac:dyDescent="0.25">
      <c r="A30" s="20">
        <v>29</v>
      </c>
      <c r="B30" s="12" t="s">
        <v>67</v>
      </c>
      <c r="C30" s="12">
        <v>317</v>
      </c>
      <c r="D30" s="12" t="s">
        <v>52</v>
      </c>
      <c r="E30" s="25">
        <v>45936</v>
      </c>
      <c r="F30" s="26">
        <v>200000</v>
      </c>
      <c r="G30" s="27"/>
      <c r="H30" s="26"/>
      <c r="I30" s="26"/>
      <c r="J30" s="26"/>
      <c r="K30" s="26">
        <v>4000</v>
      </c>
      <c r="L30" s="26">
        <v>4000</v>
      </c>
      <c r="M30" s="26">
        <v>4000</v>
      </c>
      <c r="N30" s="26">
        <v>4000</v>
      </c>
      <c r="O30" s="26">
        <v>4000</v>
      </c>
      <c r="P30" s="26">
        <v>4000</v>
      </c>
      <c r="Q30" s="26">
        <v>4000</v>
      </c>
      <c r="R30" s="26">
        <v>4000</v>
      </c>
      <c r="S30" s="28"/>
      <c r="T30" s="17">
        <f>SUM(H30:S30)</f>
        <v>32000</v>
      </c>
      <c r="U30" s="18">
        <f>Table2[[#This Row],[Disbursement Taka]]-T30</f>
        <v>168000</v>
      </c>
    </row>
    <row r="31" spans="1:21" ht="15.75" x14ac:dyDescent="0.25">
      <c r="A31" s="20">
        <v>30</v>
      </c>
      <c r="B31" s="12" t="s">
        <v>68</v>
      </c>
      <c r="C31" s="9">
        <v>1054</v>
      </c>
      <c r="D31" s="9" t="s">
        <v>62</v>
      </c>
      <c r="E31" s="22">
        <v>45971</v>
      </c>
      <c r="F31" s="14">
        <v>200000</v>
      </c>
      <c r="G31" s="15"/>
      <c r="H31" s="14"/>
      <c r="I31" s="14"/>
      <c r="J31" s="26"/>
      <c r="K31" s="14"/>
      <c r="L31" s="26">
        <v>4000</v>
      </c>
      <c r="M31" s="26">
        <v>4000</v>
      </c>
      <c r="N31" s="26">
        <v>4000</v>
      </c>
      <c r="O31" s="26">
        <v>4000</v>
      </c>
      <c r="P31" s="26">
        <v>4000</v>
      </c>
      <c r="Q31" s="26">
        <v>4000</v>
      </c>
      <c r="R31" s="26">
        <v>4000</v>
      </c>
      <c r="S31" s="16"/>
      <c r="T31" s="17">
        <f t="shared" ref="T31:T49" si="3">SUM(H31:S31)</f>
        <v>28000</v>
      </c>
      <c r="U31" s="18">
        <f>Table2[[#This Row],[Disbursement Taka]]-T31</f>
        <v>172000</v>
      </c>
    </row>
    <row r="32" spans="1:21" ht="15.75" x14ac:dyDescent="0.25">
      <c r="A32" s="20">
        <v>31</v>
      </c>
      <c r="B32" s="12" t="s">
        <v>69</v>
      </c>
      <c r="C32" s="9">
        <v>452</v>
      </c>
      <c r="D32" s="9" t="s">
        <v>32</v>
      </c>
      <c r="E32" s="22">
        <v>45978</v>
      </c>
      <c r="F32" s="14">
        <v>200000</v>
      </c>
      <c r="G32" s="15"/>
      <c r="H32" s="14"/>
      <c r="I32" s="14"/>
      <c r="J32" s="26"/>
      <c r="K32" s="14"/>
      <c r="L32" s="26">
        <v>4000</v>
      </c>
      <c r="M32" s="26">
        <v>4000</v>
      </c>
      <c r="N32" s="26">
        <v>4000</v>
      </c>
      <c r="O32" s="26">
        <v>4000</v>
      </c>
      <c r="P32" s="26">
        <v>4000</v>
      </c>
      <c r="Q32" s="26">
        <v>4000</v>
      </c>
      <c r="R32" s="26">
        <v>4000</v>
      </c>
      <c r="S32" s="16"/>
      <c r="T32" s="17">
        <f t="shared" si="3"/>
        <v>28000</v>
      </c>
      <c r="U32" s="18">
        <f>Table2[[#This Row],[Disbursement Taka]]-T32</f>
        <v>172000</v>
      </c>
    </row>
    <row r="33" spans="1:21" ht="15.75" x14ac:dyDescent="0.25">
      <c r="A33" s="20">
        <v>32</v>
      </c>
      <c r="B33" s="12" t="s">
        <v>70</v>
      </c>
      <c r="C33" s="9">
        <v>190</v>
      </c>
      <c r="D33" s="9" t="s">
        <v>32</v>
      </c>
      <c r="E33" s="22">
        <v>45981</v>
      </c>
      <c r="F33" s="14">
        <v>200000</v>
      </c>
      <c r="G33" s="15"/>
      <c r="H33" s="14"/>
      <c r="I33" s="14"/>
      <c r="J33" s="26"/>
      <c r="K33" s="14"/>
      <c r="L33" s="26">
        <v>4000</v>
      </c>
      <c r="M33" s="26">
        <v>4000</v>
      </c>
      <c r="N33" s="26">
        <v>4000</v>
      </c>
      <c r="O33" s="26">
        <v>4000</v>
      </c>
      <c r="P33" s="26">
        <v>4000</v>
      </c>
      <c r="Q33" s="26">
        <v>4000</v>
      </c>
      <c r="R33" s="26">
        <v>4000</v>
      </c>
      <c r="S33" s="16"/>
      <c r="T33" s="17">
        <f t="shared" si="3"/>
        <v>28000</v>
      </c>
      <c r="U33" s="18">
        <f>Table2[[#This Row],[Disbursement Taka]]-T33</f>
        <v>172000</v>
      </c>
    </row>
    <row r="34" spans="1:21" ht="15.75" x14ac:dyDescent="0.25">
      <c r="A34" s="20">
        <v>33</v>
      </c>
      <c r="B34" s="12" t="s">
        <v>71</v>
      </c>
      <c r="C34" s="12">
        <v>867</v>
      </c>
      <c r="D34" s="12" t="s">
        <v>52</v>
      </c>
      <c r="E34" s="25">
        <v>45993</v>
      </c>
      <c r="F34" s="26">
        <v>200000</v>
      </c>
      <c r="G34" s="27"/>
      <c r="H34" s="26"/>
      <c r="I34" s="26"/>
      <c r="J34" s="26"/>
      <c r="K34" s="26"/>
      <c r="L34" s="26"/>
      <c r="M34" s="26">
        <v>4000</v>
      </c>
      <c r="N34" s="26">
        <v>4000</v>
      </c>
      <c r="O34" s="26">
        <v>4000</v>
      </c>
      <c r="P34" s="26">
        <v>4000</v>
      </c>
      <c r="Q34" s="26">
        <v>4000</v>
      </c>
      <c r="R34" s="26">
        <v>4000</v>
      </c>
      <c r="S34" s="28"/>
      <c r="T34" s="17">
        <f t="shared" si="3"/>
        <v>24000</v>
      </c>
      <c r="U34" s="18">
        <f>Table2[[#This Row],[Disbursement Taka]]-T34</f>
        <v>176000</v>
      </c>
    </row>
    <row r="35" spans="1:21" ht="15.75" x14ac:dyDescent="0.25">
      <c r="A35" s="20">
        <v>34</v>
      </c>
      <c r="B35" s="9" t="s">
        <v>72</v>
      </c>
      <c r="C35" s="9">
        <v>36</v>
      </c>
      <c r="D35" s="9" t="s">
        <v>52</v>
      </c>
      <c r="E35" s="22">
        <v>45994</v>
      </c>
      <c r="F35" s="14">
        <v>200000</v>
      </c>
      <c r="G35" s="15"/>
      <c r="H35" s="14"/>
      <c r="I35" s="14"/>
      <c r="J35" s="26"/>
      <c r="K35" s="14"/>
      <c r="L35" s="26"/>
      <c r="M35" s="26">
        <v>4000</v>
      </c>
      <c r="N35" s="26">
        <v>4000</v>
      </c>
      <c r="O35" s="26">
        <v>4000</v>
      </c>
      <c r="P35" s="26">
        <v>4000</v>
      </c>
      <c r="Q35" s="26">
        <v>4000</v>
      </c>
      <c r="R35" s="26">
        <v>4000</v>
      </c>
      <c r="S35" s="16"/>
      <c r="T35" s="17">
        <f t="shared" si="3"/>
        <v>24000</v>
      </c>
      <c r="U35" s="18">
        <f>Table2[[#This Row],[Disbursement Taka]]-T35</f>
        <v>176000</v>
      </c>
    </row>
    <row r="36" spans="1:21" ht="15.75" x14ac:dyDescent="0.25">
      <c r="A36" s="20">
        <v>35</v>
      </c>
      <c r="B36" s="8" t="s">
        <v>73</v>
      </c>
      <c r="C36" s="8">
        <v>13</v>
      </c>
      <c r="D36" s="9" t="s">
        <v>62</v>
      </c>
      <c r="E36" s="22">
        <v>45998</v>
      </c>
      <c r="F36" s="14">
        <v>200000</v>
      </c>
      <c r="G36" s="15"/>
      <c r="H36" s="14"/>
      <c r="I36" s="14"/>
      <c r="J36" s="26"/>
      <c r="K36" s="14"/>
      <c r="L36" s="26"/>
      <c r="M36" s="26">
        <v>4000</v>
      </c>
      <c r="N36" s="26">
        <v>4000</v>
      </c>
      <c r="O36" s="26">
        <v>4000</v>
      </c>
      <c r="P36" s="26">
        <v>4000</v>
      </c>
      <c r="Q36" s="26">
        <v>4000</v>
      </c>
      <c r="R36" s="26">
        <v>4000</v>
      </c>
      <c r="S36" s="16"/>
      <c r="T36" s="17">
        <f>SUM(H36:S36)</f>
        <v>24000</v>
      </c>
      <c r="U36" s="18">
        <f>Table2[[#This Row],[Disbursement Taka]]-T36</f>
        <v>176000</v>
      </c>
    </row>
    <row r="37" spans="1:21" ht="15.75" x14ac:dyDescent="0.25">
      <c r="A37" s="20">
        <v>36</v>
      </c>
      <c r="B37" s="9" t="s">
        <v>74</v>
      </c>
      <c r="C37" s="9">
        <v>225</v>
      </c>
      <c r="D37" s="9" t="s">
        <v>75</v>
      </c>
      <c r="E37" s="22">
        <v>45998</v>
      </c>
      <c r="F37" s="14">
        <v>100000</v>
      </c>
      <c r="G37" s="15"/>
      <c r="H37" s="14"/>
      <c r="I37" s="14"/>
      <c r="J37" s="26"/>
      <c r="K37" s="14"/>
      <c r="L37" s="26"/>
      <c r="M37" s="26">
        <v>2000</v>
      </c>
      <c r="N37" s="26">
        <v>2000</v>
      </c>
      <c r="O37" s="26">
        <v>2000</v>
      </c>
      <c r="P37" s="26">
        <v>2000</v>
      </c>
      <c r="Q37" s="26">
        <v>2000</v>
      </c>
      <c r="R37" s="26">
        <v>2000</v>
      </c>
      <c r="S37" s="16"/>
      <c r="T37" s="17">
        <f t="shared" si="3"/>
        <v>12000</v>
      </c>
      <c r="U37" s="18">
        <f>Table2[[#This Row],[Disbursement Taka]]-T37</f>
        <v>88000</v>
      </c>
    </row>
    <row r="38" spans="1:21" ht="15.75" x14ac:dyDescent="0.25">
      <c r="A38" s="20">
        <v>37</v>
      </c>
      <c r="B38" s="9" t="s">
        <v>76</v>
      </c>
      <c r="C38" s="9">
        <v>102</v>
      </c>
      <c r="D38" s="9" t="s">
        <v>75</v>
      </c>
      <c r="E38" s="22">
        <v>46014</v>
      </c>
      <c r="F38" s="14">
        <v>150000</v>
      </c>
      <c r="G38" s="15"/>
      <c r="H38" s="14"/>
      <c r="I38" s="14"/>
      <c r="J38" s="26"/>
      <c r="K38" s="14"/>
      <c r="L38" s="26"/>
      <c r="M38" s="26">
        <v>3000</v>
      </c>
      <c r="N38" s="26">
        <v>3000</v>
      </c>
      <c r="O38" s="26">
        <v>3000</v>
      </c>
      <c r="P38" s="26">
        <v>3000</v>
      </c>
      <c r="Q38" s="26">
        <v>3000</v>
      </c>
      <c r="R38" s="26">
        <v>3000</v>
      </c>
      <c r="S38" s="16"/>
      <c r="T38" s="17">
        <f t="shared" si="3"/>
        <v>18000</v>
      </c>
      <c r="U38" s="18">
        <f>Table2[[#This Row],[Disbursement Taka]]-T38</f>
        <v>132000</v>
      </c>
    </row>
    <row r="39" spans="1:21" ht="15.75" x14ac:dyDescent="0.25">
      <c r="A39" s="20">
        <v>38</v>
      </c>
      <c r="B39" s="9" t="s">
        <v>77</v>
      </c>
      <c r="C39" s="9">
        <v>376</v>
      </c>
      <c r="D39" s="9" t="s">
        <v>32</v>
      </c>
      <c r="E39" s="22">
        <v>46029</v>
      </c>
      <c r="F39" s="14">
        <v>200000</v>
      </c>
      <c r="G39" s="15"/>
      <c r="H39" s="14"/>
      <c r="I39" s="14"/>
      <c r="J39" s="26"/>
      <c r="K39" s="14"/>
      <c r="L39" s="26"/>
      <c r="M39" s="26"/>
      <c r="N39" s="26">
        <v>4000</v>
      </c>
      <c r="O39" s="26">
        <v>4000</v>
      </c>
      <c r="P39" s="26">
        <v>4000</v>
      </c>
      <c r="Q39" s="26">
        <v>4000</v>
      </c>
      <c r="R39" s="26">
        <v>4000</v>
      </c>
      <c r="S39" s="16"/>
      <c r="T39" s="17">
        <f t="shared" si="3"/>
        <v>20000</v>
      </c>
      <c r="U39" s="18">
        <f>Table2[[#This Row],[Disbursement Taka]]-T39</f>
        <v>180000</v>
      </c>
    </row>
    <row r="40" spans="1:21" ht="15.75" x14ac:dyDescent="0.25">
      <c r="A40" s="20">
        <v>39</v>
      </c>
      <c r="B40" s="9" t="s">
        <v>78</v>
      </c>
      <c r="C40" s="9">
        <v>79</v>
      </c>
      <c r="D40" s="9" t="s">
        <v>62</v>
      </c>
      <c r="E40" s="22">
        <v>46033</v>
      </c>
      <c r="F40" s="14">
        <v>200000</v>
      </c>
      <c r="G40" s="15"/>
      <c r="H40" s="14"/>
      <c r="I40" s="14"/>
      <c r="J40" s="26"/>
      <c r="K40" s="14"/>
      <c r="L40" s="26"/>
      <c r="M40" s="26"/>
      <c r="N40" s="26">
        <v>4000</v>
      </c>
      <c r="O40" s="26">
        <v>4000</v>
      </c>
      <c r="P40" s="26">
        <v>4000</v>
      </c>
      <c r="Q40" s="26">
        <v>4000</v>
      </c>
      <c r="R40" s="26">
        <v>4000</v>
      </c>
      <c r="S40" s="16"/>
      <c r="T40" s="17">
        <f t="shared" si="3"/>
        <v>20000</v>
      </c>
      <c r="U40" s="18">
        <f>Table2[[#This Row],[Disbursement Taka]]-T40</f>
        <v>180000</v>
      </c>
    </row>
    <row r="41" spans="1:21" ht="15.75" x14ac:dyDescent="0.25">
      <c r="A41" s="20">
        <v>40</v>
      </c>
      <c r="B41" s="9" t="s">
        <v>79</v>
      </c>
      <c r="C41" s="9">
        <v>956</v>
      </c>
      <c r="D41" s="9" t="s">
        <v>27</v>
      </c>
      <c r="E41" s="22">
        <v>46040</v>
      </c>
      <c r="F41" s="14">
        <v>200000</v>
      </c>
      <c r="G41" s="15"/>
      <c r="H41" s="14"/>
      <c r="I41" s="14"/>
      <c r="J41" s="26"/>
      <c r="K41" s="14"/>
      <c r="L41" s="26"/>
      <c r="M41" s="26"/>
      <c r="N41" s="26">
        <v>4000</v>
      </c>
      <c r="O41" s="26">
        <v>4000</v>
      </c>
      <c r="P41" s="26">
        <v>4000</v>
      </c>
      <c r="Q41" s="26">
        <v>4000</v>
      </c>
      <c r="R41" s="26">
        <v>4000</v>
      </c>
      <c r="S41" s="16"/>
      <c r="T41" s="17">
        <f t="shared" si="3"/>
        <v>20000</v>
      </c>
      <c r="U41" s="18">
        <f>Table2[[#This Row],[Disbursement Taka]]-T41</f>
        <v>180000</v>
      </c>
    </row>
    <row r="42" spans="1:21" ht="15.75" x14ac:dyDescent="0.25">
      <c r="A42" s="20">
        <v>41</v>
      </c>
      <c r="B42" s="10" t="s">
        <v>80</v>
      </c>
      <c r="C42" s="12">
        <v>625</v>
      </c>
      <c r="D42" s="12" t="s">
        <v>81</v>
      </c>
      <c r="E42" s="25">
        <v>46055</v>
      </c>
      <c r="F42" s="26">
        <v>200000</v>
      </c>
      <c r="G42" s="27"/>
      <c r="H42" s="26"/>
      <c r="I42" s="26"/>
      <c r="J42" s="26"/>
      <c r="K42" s="26"/>
      <c r="L42" s="26"/>
      <c r="M42" s="26"/>
      <c r="N42" s="26"/>
      <c r="O42" s="26">
        <v>4000</v>
      </c>
      <c r="P42" s="26">
        <v>4000</v>
      </c>
      <c r="Q42" s="26">
        <v>4000</v>
      </c>
      <c r="R42" s="26">
        <v>4000</v>
      </c>
      <c r="S42" s="28"/>
      <c r="T42" s="17">
        <f t="shared" si="3"/>
        <v>16000</v>
      </c>
      <c r="U42" s="18">
        <f>Table2[[#This Row],[Disbursement Taka]]-T42</f>
        <v>184000</v>
      </c>
    </row>
    <row r="43" spans="1:21" ht="15.75" x14ac:dyDescent="0.25">
      <c r="A43" s="20">
        <v>42</v>
      </c>
      <c r="B43" s="9" t="s">
        <v>82</v>
      </c>
      <c r="C43" s="9">
        <v>325</v>
      </c>
      <c r="D43" s="9" t="s">
        <v>25</v>
      </c>
      <c r="E43" s="22">
        <v>46069</v>
      </c>
      <c r="F43" s="14">
        <v>150000</v>
      </c>
      <c r="G43" s="15"/>
      <c r="H43" s="14"/>
      <c r="I43" s="14"/>
      <c r="J43" s="26"/>
      <c r="K43" s="14"/>
      <c r="L43" s="26"/>
      <c r="M43" s="26"/>
      <c r="N43" s="26"/>
      <c r="O43" s="26">
        <v>3000</v>
      </c>
      <c r="P43" s="26">
        <v>3000</v>
      </c>
      <c r="Q43" s="26">
        <v>3000</v>
      </c>
      <c r="R43" s="26">
        <v>3000</v>
      </c>
      <c r="S43" s="16"/>
      <c r="T43" s="17">
        <f t="shared" si="3"/>
        <v>12000</v>
      </c>
      <c r="U43" s="18">
        <f>Table2[[#This Row],[Disbursement Taka]]-T43</f>
        <v>138000</v>
      </c>
    </row>
    <row r="44" spans="1:21" ht="31.5" x14ac:dyDescent="0.25">
      <c r="A44" s="20">
        <v>43</v>
      </c>
      <c r="B44" s="9" t="s">
        <v>83</v>
      </c>
      <c r="C44" s="9">
        <v>739</v>
      </c>
      <c r="D44" s="8" t="s">
        <v>84</v>
      </c>
      <c r="E44" s="22">
        <v>46062</v>
      </c>
      <c r="F44" s="14">
        <v>200000</v>
      </c>
      <c r="G44" s="15"/>
      <c r="H44" s="14"/>
      <c r="I44" s="14"/>
      <c r="J44" s="26"/>
      <c r="K44" s="14"/>
      <c r="L44" s="26"/>
      <c r="M44" s="26"/>
      <c r="N44" s="26"/>
      <c r="O44" s="26">
        <v>4000</v>
      </c>
      <c r="P44" s="26">
        <v>4000</v>
      </c>
      <c r="Q44" s="26">
        <v>4000</v>
      </c>
      <c r="R44" s="26">
        <v>4000</v>
      </c>
      <c r="S44" s="16"/>
      <c r="T44" s="17">
        <f t="shared" si="3"/>
        <v>16000</v>
      </c>
      <c r="U44" s="18">
        <f>Table2[[#This Row],[Disbursement Taka]]-T44</f>
        <v>184000</v>
      </c>
    </row>
    <row r="45" spans="1:21" ht="15.75" x14ac:dyDescent="0.25">
      <c r="A45" s="20">
        <v>44</v>
      </c>
      <c r="B45" s="8" t="s">
        <v>85</v>
      </c>
      <c r="C45" s="8">
        <v>454</v>
      </c>
      <c r="D45" s="9" t="s">
        <v>27</v>
      </c>
      <c r="E45" s="22">
        <v>46068</v>
      </c>
      <c r="F45" s="14">
        <v>200000</v>
      </c>
      <c r="G45" s="15"/>
      <c r="H45" s="14"/>
      <c r="I45" s="14"/>
      <c r="J45" s="26"/>
      <c r="K45" s="14"/>
      <c r="L45" s="26"/>
      <c r="M45" s="26"/>
      <c r="N45" s="26"/>
      <c r="O45" s="26">
        <v>4000</v>
      </c>
      <c r="P45" s="26">
        <v>4000</v>
      </c>
      <c r="Q45" s="26">
        <v>4000</v>
      </c>
      <c r="R45" s="26">
        <v>4000</v>
      </c>
      <c r="S45" s="16"/>
      <c r="T45" s="17">
        <f t="shared" si="3"/>
        <v>16000</v>
      </c>
      <c r="U45" s="18">
        <f>Table2[[#This Row],[Disbursement Taka]]-T45</f>
        <v>184000</v>
      </c>
    </row>
    <row r="46" spans="1:21" ht="15.75" x14ac:dyDescent="0.25">
      <c r="A46" s="20">
        <v>45</v>
      </c>
      <c r="B46" s="9" t="s">
        <v>86</v>
      </c>
      <c r="C46" s="9">
        <v>43</v>
      </c>
      <c r="D46" s="9" t="s">
        <v>27</v>
      </c>
      <c r="E46" s="22">
        <v>46091</v>
      </c>
      <c r="F46" s="14">
        <v>200000</v>
      </c>
      <c r="G46" s="15"/>
      <c r="H46" s="14"/>
      <c r="I46" s="14"/>
      <c r="J46" s="26"/>
      <c r="K46" s="14"/>
      <c r="L46" s="26"/>
      <c r="M46" s="26"/>
      <c r="N46" s="26"/>
      <c r="O46" s="26"/>
      <c r="P46" s="16">
        <v>4000</v>
      </c>
      <c r="Q46" s="16">
        <v>4000</v>
      </c>
      <c r="R46" s="16">
        <v>4000</v>
      </c>
      <c r="S46" s="16"/>
      <c r="T46" s="17">
        <f t="shared" si="3"/>
        <v>12000</v>
      </c>
      <c r="U46" s="18">
        <f>Table2[[#This Row],[Disbursement Taka]]-T46</f>
        <v>188000</v>
      </c>
    </row>
    <row r="47" spans="1:21" ht="15.75" x14ac:dyDescent="0.25">
      <c r="A47" s="20">
        <v>46</v>
      </c>
      <c r="B47" s="9" t="s">
        <v>87</v>
      </c>
      <c r="C47" s="9">
        <v>1092</v>
      </c>
      <c r="D47" s="9" t="s">
        <v>62</v>
      </c>
      <c r="E47" s="22">
        <v>46091</v>
      </c>
      <c r="F47" s="14">
        <v>150000</v>
      </c>
      <c r="G47" s="15"/>
      <c r="H47" s="14"/>
      <c r="I47" s="14"/>
      <c r="J47" s="26"/>
      <c r="K47" s="14"/>
      <c r="L47" s="26"/>
      <c r="M47" s="26"/>
      <c r="N47" s="26"/>
      <c r="O47" s="26"/>
      <c r="P47" s="16">
        <v>3000</v>
      </c>
      <c r="Q47" s="16">
        <v>3000</v>
      </c>
      <c r="R47" s="16">
        <v>3000</v>
      </c>
      <c r="S47" s="16"/>
      <c r="T47" s="17">
        <f t="shared" si="3"/>
        <v>9000</v>
      </c>
      <c r="U47" s="18">
        <f>Table2[[#This Row],[Disbursement Taka]]-T47</f>
        <v>141000</v>
      </c>
    </row>
    <row r="48" spans="1:21" ht="15.75" x14ac:dyDescent="0.25">
      <c r="A48" s="20">
        <v>47</v>
      </c>
      <c r="B48" s="9" t="s">
        <v>55</v>
      </c>
      <c r="C48" s="9">
        <v>248</v>
      </c>
      <c r="D48" s="9" t="s">
        <v>32</v>
      </c>
      <c r="E48" s="22">
        <v>46124</v>
      </c>
      <c r="F48" s="14">
        <v>180000</v>
      </c>
      <c r="G48" s="15"/>
      <c r="H48" s="14"/>
      <c r="I48" s="14"/>
      <c r="J48" s="26"/>
      <c r="K48" s="14"/>
      <c r="L48" s="26"/>
      <c r="M48" s="26"/>
      <c r="N48" s="26"/>
      <c r="O48" s="26"/>
      <c r="P48" s="16"/>
      <c r="Q48" s="16">
        <v>4000</v>
      </c>
      <c r="R48" s="16">
        <v>4000</v>
      </c>
      <c r="S48" s="16"/>
      <c r="T48" s="17">
        <f t="shared" si="3"/>
        <v>8000</v>
      </c>
      <c r="U48" s="18">
        <f>Table2[[#This Row],[Disbursement Taka]]-T48</f>
        <v>172000</v>
      </c>
    </row>
    <row r="49" spans="1:21" ht="15.75" x14ac:dyDescent="0.25">
      <c r="A49" s="20">
        <v>48</v>
      </c>
      <c r="B49" s="9" t="s">
        <v>88</v>
      </c>
      <c r="C49" s="9">
        <v>561</v>
      </c>
      <c r="D49" s="9" t="s">
        <v>32</v>
      </c>
      <c r="E49" s="22">
        <v>46162</v>
      </c>
      <c r="F49" s="14">
        <v>200000</v>
      </c>
      <c r="G49" s="15"/>
      <c r="H49" s="14"/>
      <c r="I49" s="14"/>
      <c r="J49" s="26"/>
      <c r="K49" s="14"/>
      <c r="L49" s="26"/>
      <c r="M49" s="26"/>
      <c r="N49" s="26"/>
      <c r="O49" s="26"/>
      <c r="P49" s="16"/>
      <c r="Q49" s="16"/>
      <c r="R49" s="28">
        <v>4000</v>
      </c>
      <c r="S49" s="16"/>
      <c r="T49" s="17">
        <f t="shared" si="3"/>
        <v>4000</v>
      </c>
      <c r="U49" s="18">
        <f>Table2[[#This Row],[Disbursement Taka]]-T49</f>
        <v>196000</v>
      </c>
    </row>
    <row r="50" spans="1:21" customFormat="1" ht="15.75" x14ac:dyDescent="0.25">
      <c r="A50" s="32"/>
      <c r="B50" s="32"/>
      <c r="C50" s="32"/>
      <c r="D50" s="32"/>
      <c r="E50" s="33"/>
      <c r="F50" s="34">
        <f t="shared" ref="F50:U50" si="4">SUM(F2:F49)</f>
        <v>7910000</v>
      </c>
      <c r="G50" s="35">
        <f t="shared" si="4"/>
        <v>2725944</v>
      </c>
      <c r="H50" s="35">
        <f t="shared" si="4"/>
        <v>70500</v>
      </c>
      <c r="I50" s="35">
        <f t="shared" si="4"/>
        <v>76500</v>
      </c>
      <c r="J50" s="35">
        <f t="shared" si="4"/>
        <v>79500</v>
      </c>
      <c r="K50" s="35">
        <f t="shared" si="4"/>
        <v>83500</v>
      </c>
      <c r="L50" s="35">
        <f t="shared" si="4"/>
        <v>95500</v>
      </c>
      <c r="M50" s="35">
        <f t="shared" si="4"/>
        <v>112500</v>
      </c>
      <c r="N50" s="35">
        <f t="shared" si="4"/>
        <v>124500</v>
      </c>
      <c r="O50" s="35">
        <f t="shared" si="4"/>
        <v>139500</v>
      </c>
      <c r="P50" s="35">
        <f t="shared" si="4"/>
        <v>146500</v>
      </c>
      <c r="Q50" s="35">
        <f t="shared" si="4"/>
        <v>150500</v>
      </c>
      <c r="R50" s="35">
        <f t="shared" si="4"/>
        <v>154500</v>
      </c>
      <c r="S50" s="35">
        <f t="shared" si="4"/>
        <v>0</v>
      </c>
      <c r="T50" s="35">
        <f t="shared" si="4"/>
        <v>1233500</v>
      </c>
      <c r="U50" s="35">
        <f t="shared" si="4"/>
        <v>5672444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2026-06-14T13:00:02Z</dcterms:created>
  <dcterms:modified xsi:type="dcterms:W3CDTF">2026-06-14T13:04:01Z</dcterms:modified>
</cp:coreProperties>
</file>