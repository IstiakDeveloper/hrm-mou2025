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 Mousumi\Downloads\"/>
    </mc:Choice>
  </mc:AlternateContent>
  <xr:revisionPtr revIDLastSave="0" documentId="8_{575D8832-EB72-49D2-AEF4-2B8C0504462C}" xr6:coauthVersionLast="47" xr6:coauthVersionMax="47" xr10:uidLastSave="{00000000-0000-0000-0000-000000000000}"/>
  <bookViews>
    <workbookView xWindow="-120" yWindow="-120" windowWidth="29040" windowHeight="15720" xr2:uid="{476ABEEA-9F3F-4D14-98F3-CD197200E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4" i="1" l="1"/>
  <c r="O184" i="1"/>
  <c r="N184" i="1"/>
  <c r="M184" i="1"/>
  <c r="L184" i="1"/>
  <c r="K184" i="1"/>
  <c r="J184" i="1"/>
  <c r="I184" i="1"/>
  <c r="H184" i="1"/>
  <c r="G184" i="1"/>
  <c r="F184" i="1"/>
  <c r="F182" i="1"/>
  <c r="F180" i="1"/>
  <c r="F179" i="1"/>
  <c r="F183" i="1" s="1"/>
  <c r="F185" i="1" s="1"/>
  <c r="H178" i="1"/>
  <c r="I178" i="1" s="1"/>
  <c r="J178" i="1" s="1"/>
  <c r="K178" i="1" s="1"/>
  <c r="L178" i="1" s="1"/>
  <c r="M178" i="1" s="1"/>
  <c r="N178" i="1" s="1"/>
  <c r="O178" i="1" s="1"/>
  <c r="P178" i="1" s="1"/>
  <c r="G178" i="1"/>
  <c r="F177" i="1"/>
  <c r="O176" i="1"/>
  <c r="P176" i="1" s="1"/>
  <c r="H176" i="1"/>
  <c r="I176" i="1" s="1"/>
  <c r="J176" i="1" s="1"/>
  <c r="K176" i="1" s="1"/>
  <c r="L176" i="1" s="1"/>
  <c r="M176" i="1" s="1"/>
  <c r="N176" i="1" s="1"/>
  <c r="G176" i="1"/>
  <c r="G175" i="1"/>
  <c r="F175" i="1"/>
  <c r="G174" i="1"/>
  <c r="G180" i="1" s="1"/>
  <c r="P172" i="1"/>
  <c r="O172" i="1"/>
  <c r="N172" i="1"/>
  <c r="M172" i="1"/>
  <c r="L172" i="1"/>
  <c r="K172" i="1"/>
  <c r="J172" i="1"/>
  <c r="I172" i="1"/>
  <c r="H172" i="1"/>
  <c r="G172" i="1"/>
  <c r="F172" i="1"/>
  <c r="H169" i="1"/>
  <c r="F169" i="1"/>
  <c r="F167" i="1"/>
  <c r="K165" i="1"/>
  <c r="L165" i="1" s="1"/>
  <c r="M165" i="1" s="1"/>
  <c r="N165" i="1" s="1"/>
  <c r="O165" i="1" s="1"/>
  <c r="P165" i="1" s="1"/>
  <c r="I165" i="1"/>
  <c r="J165" i="1" s="1"/>
  <c r="H165" i="1"/>
  <c r="G165" i="1"/>
  <c r="F164" i="1"/>
  <c r="P163" i="1"/>
  <c r="G163" i="1"/>
  <c r="H163" i="1" s="1"/>
  <c r="I163" i="1" s="1"/>
  <c r="J163" i="1" s="1"/>
  <c r="K163" i="1" s="1"/>
  <c r="L163" i="1" s="1"/>
  <c r="M163" i="1" s="1"/>
  <c r="N163" i="1" s="1"/>
  <c r="O163" i="1" s="1"/>
  <c r="H162" i="1"/>
  <c r="G162" i="1"/>
  <c r="F162" i="1"/>
  <c r="F166" i="1" s="1"/>
  <c r="H161" i="1"/>
  <c r="H167" i="1" s="1"/>
  <c r="G161" i="1"/>
  <c r="G167" i="1" s="1"/>
  <c r="P159" i="1"/>
  <c r="O159" i="1"/>
  <c r="N159" i="1"/>
  <c r="M159" i="1"/>
  <c r="L159" i="1"/>
  <c r="K159" i="1"/>
  <c r="J159" i="1"/>
  <c r="I159" i="1"/>
  <c r="H159" i="1"/>
  <c r="G159" i="1"/>
  <c r="F159" i="1"/>
  <c r="F156" i="1"/>
  <c r="F154" i="1"/>
  <c r="G152" i="1"/>
  <c r="H152" i="1" s="1"/>
  <c r="I152" i="1" s="1"/>
  <c r="J152" i="1" s="1"/>
  <c r="K152" i="1" s="1"/>
  <c r="L152" i="1" s="1"/>
  <c r="M152" i="1" s="1"/>
  <c r="N152" i="1" s="1"/>
  <c r="O152" i="1" s="1"/>
  <c r="P152" i="1" s="1"/>
  <c r="F151" i="1"/>
  <c r="H150" i="1"/>
  <c r="I150" i="1" s="1"/>
  <c r="J150" i="1" s="1"/>
  <c r="K150" i="1" s="1"/>
  <c r="L150" i="1" s="1"/>
  <c r="M150" i="1" s="1"/>
  <c r="N150" i="1" s="1"/>
  <c r="O150" i="1" s="1"/>
  <c r="P150" i="1" s="1"/>
  <c r="G150" i="1"/>
  <c r="F149" i="1"/>
  <c r="G148" i="1"/>
  <c r="H148" i="1" s="1"/>
  <c r="P146" i="1"/>
  <c r="O146" i="1"/>
  <c r="N146" i="1"/>
  <c r="M146" i="1"/>
  <c r="L146" i="1"/>
  <c r="K146" i="1"/>
  <c r="J146" i="1"/>
  <c r="I146" i="1"/>
  <c r="H146" i="1"/>
  <c r="G146" i="1"/>
  <c r="F146" i="1"/>
  <c r="F143" i="1"/>
  <c r="F141" i="1"/>
  <c r="G139" i="1"/>
  <c r="H139" i="1" s="1"/>
  <c r="I139" i="1" s="1"/>
  <c r="J139" i="1" s="1"/>
  <c r="K139" i="1" s="1"/>
  <c r="L139" i="1" s="1"/>
  <c r="M139" i="1" s="1"/>
  <c r="N139" i="1" s="1"/>
  <c r="O139" i="1" s="1"/>
  <c r="P139" i="1" s="1"/>
  <c r="G138" i="1"/>
  <c r="F138" i="1"/>
  <c r="I137" i="1"/>
  <c r="J137" i="1" s="1"/>
  <c r="K137" i="1" s="1"/>
  <c r="L137" i="1" s="1"/>
  <c r="M137" i="1" s="1"/>
  <c r="N137" i="1" s="1"/>
  <c r="O137" i="1" s="1"/>
  <c r="P137" i="1" s="1"/>
  <c r="H137" i="1"/>
  <c r="G137" i="1"/>
  <c r="F136" i="1"/>
  <c r="F140" i="1" s="1"/>
  <c r="F142" i="1" s="1"/>
  <c r="H135" i="1"/>
  <c r="G135" i="1"/>
  <c r="G141" i="1" s="1"/>
  <c r="P133" i="1"/>
  <c r="O133" i="1"/>
  <c r="N133" i="1"/>
  <c r="M133" i="1"/>
  <c r="L133" i="1"/>
  <c r="K133" i="1"/>
  <c r="J133" i="1"/>
  <c r="I133" i="1"/>
  <c r="H133" i="1"/>
  <c r="G133" i="1"/>
  <c r="F133" i="1"/>
  <c r="F130" i="1"/>
  <c r="F128" i="1"/>
  <c r="N126" i="1"/>
  <c r="O126" i="1" s="1"/>
  <c r="P126" i="1" s="1"/>
  <c r="G126" i="1"/>
  <c r="H126" i="1" s="1"/>
  <c r="I126" i="1" s="1"/>
  <c r="J126" i="1" s="1"/>
  <c r="K126" i="1" s="1"/>
  <c r="L126" i="1" s="1"/>
  <c r="M126" i="1" s="1"/>
  <c r="H125" i="1"/>
  <c r="F125" i="1"/>
  <c r="G124" i="1"/>
  <c r="H124" i="1" s="1"/>
  <c r="I124" i="1" s="1"/>
  <c r="J124" i="1" s="1"/>
  <c r="K124" i="1" s="1"/>
  <c r="L124" i="1" s="1"/>
  <c r="M124" i="1" s="1"/>
  <c r="N124" i="1" s="1"/>
  <c r="O124" i="1" s="1"/>
  <c r="P124" i="1" s="1"/>
  <c r="G123" i="1"/>
  <c r="F123" i="1"/>
  <c r="F127" i="1" s="1"/>
  <c r="H122" i="1"/>
  <c r="H128" i="1" s="1"/>
  <c r="G122" i="1"/>
  <c r="G128" i="1" s="1"/>
  <c r="P120" i="1"/>
  <c r="O120" i="1"/>
  <c r="N120" i="1"/>
  <c r="M120" i="1"/>
  <c r="L120" i="1"/>
  <c r="K120" i="1"/>
  <c r="J120" i="1"/>
  <c r="I120" i="1"/>
  <c r="H120" i="1"/>
  <c r="G120" i="1"/>
  <c r="F120" i="1"/>
  <c r="F117" i="1"/>
  <c r="F115" i="1"/>
  <c r="M113" i="1"/>
  <c r="N113" i="1" s="1"/>
  <c r="O113" i="1" s="1"/>
  <c r="P113" i="1" s="1"/>
  <c r="H113" i="1"/>
  <c r="I113" i="1" s="1"/>
  <c r="J113" i="1" s="1"/>
  <c r="K113" i="1" s="1"/>
  <c r="L113" i="1" s="1"/>
  <c r="G113" i="1"/>
  <c r="F112" i="1"/>
  <c r="G111" i="1"/>
  <c r="H111" i="1" s="1"/>
  <c r="I111" i="1" s="1"/>
  <c r="J111" i="1" s="1"/>
  <c r="K111" i="1" s="1"/>
  <c r="L111" i="1" s="1"/>
  <c r="M111" i="1" s="1"/>
  <c r="N111" i="1" s="1"/>
  <c r="O111" i="1" s="1"/>
  <c r="P111" i="1" s="1"/>
  <c r="F110" i="1"/>
  <c r="F114" i="1" s="1"/>
  <c r="F116" i="1" s="1"/>
  <c r="G109" i="1"/>
  <c r="P107" i="1"/>
  <c r="O107" i="1"/>
  <c r="N107" i="1"/>
  <c r="M107" i="1"/>
  <c r="L107" i="1"/>
  <c r="K107" i="1"/>
  <c r="J107" i="1"/>
  <c r="I107" i="1"/>
  <c r="H107" i="1"/>
  <c r="G107" i="1"/>
  <c r="F107" i="1"/>
  <c r="F104" i="1"/>
  <c r="H102" i="1"/>
  <c r="F102" i="1"/>
  <c r="F101" i="1"/>
  <c r="N100" i="1"/>
  <c r="O100" i="1" s="1"/>
  <c r="P100" i="1" s="1"/>
  <c r="G100" i="1"/>
  <c r="H100" i="1" s="1"/>
  <c r="I100" i="1" s="1"/>
  <c r="J100" i="1" s="1"/>
  <c r="K100" i="1" s="1"/>
  <c r="L100" i="1" s="1"/>
  <c r="M100" i="1" s="1"/>
  <c r="H99" i="1"/>
  <c r="F99" i="1"/>
  <c r="H98" i="1"/>
  <c r="I98" i="1" s="1"/>
  <c r="J98" i="1" s="1"/>
  <c r="K98" i="1" s="1"/>
  <c r="L98" i="1" s="1"/>
  <c r="M98" i="1" s="1"/>
  <c r="N98" i="1" s="1"/>
  <c r="O98" i="1" s="1"/>
  <c r="P98" i="1" s="1"/>
  <c r="G98" i="1"/>
  <c r="F97" i="1"/>
  <c r="H96" i="1"/>
  <c r="G96" i="1"/>
  <c r="G104" i="1" s="1"/>
  <c r="P94" i="1"/>
  <c r="O94" i="1"/>
  <c r="N94" i="1"/>
  <c r="M94" i="1"/>
  <c r="L94" i="1"/>
  <c r="K94" i="1"/>
  <c r="J94" i="1"/>
  <c r="I94" i="1"/>
  <c r="H94" i="1"/>
  <c r="G94" i="1"/>
  <c r="F94" i="1"/>
  <c r="F91" i="1"/>
  <c r="F89" i="1"/>
  <c r="F88" i="1"/>
  <c r="H87" i="1"/>
  <c r="I87" i="1" s="1"/>
  <c r="J87" i="1" s="1"/>
  <c r="K87" i="1" s="1"/>
  <c r="L87" i="1" s="1"/>
  <c r="M87" i="1" s="1"/>
  <c r="N87" i="1" s="1"/>
  <c r="O87" i="1" s="1"/>
  <c r="P87" i="1" s="1"/>
  <c r="G87" i="1"/>
  <c r="I86" i="1"/>
  <c r="F86" i="1"/>
  <c r="G85" i="1"/>
  <c r="H85" i="1" s="1"/>
  <c r="I85" i="1" s="1"/>
  <c r="J85" i="1" s="1"/>
  <c r="K85" i="1" s="1"/>
  <c r="L85" i="1" s="1"/>
  <c r="M85" i="1" s="1"/>
  <c r="N85" i="1" s="1"/>
  <c r="O85" i="1" s="1"/>
  <c r="P85" i="1" s="1"/>
  <c r="G84" i="1"/>
  <c r="F84" i="1"/>
  <c r="I83" i="1"/>
  <c r="H83" i="1"/>
  <c r="H91" i="1" s="1"/>
  <c r="G83" i="1"/>
  <c r="G91" i="1" s="1"/>
  <c r="P81" i="1"/>
  <c r="O81" i="1"/>
  <c r="N81" i="1"/>
  <c r="M81" i="1"/>
  <c r="L81" i="1"/>
  <c r="K81" i="1"/>
  <c r="J81" i="1"/>
  <c r="I81" i="1"/>
  <c r="H81" i="1"/>
  <c r="G81" i="1"/>
  <c r="F81" i="1"/>
  <c r="G78" i="1"/>
  <c r="F78" i="1"/>
  <c r="F76" i="1"/>
  <c r="J74" i="1"/>
  <c r="K74" i="1" s="1"/>
  <c r="L74" i="1" s="1"/>
  <c r="M74" i="1" s="1"/>
  <c r="N74" i="1" s="1"/>
  <c r="O74" i="1" s="1"/>
  <c r="P74" i="1" s="1"/>
  <c r="G74" i="1"/>
  <c r="H74" i="1" s="1"/>
  <c r="I74" i="1" s="1"/>
  <c r="F73" i="1"/>
  <c r="H72" i="1"/>
  <c r="I72" i="1" s="1"/>
  <c r="J72" i="1" s="1"/>
  <c r="K72" i="1" s="1"/>
  <c r="L72" i="1" s="1"/>
  <c r="M72" i="1" s="1"/>
  <c r="N72" i="1" s="1"/>
  <c r="O72" i="1" s="1"/>
  <c r="P72" i="1" s="1"/>
  <c r="G72" i="1"/>
  <c r="F71" i="1"/>
  <c r="F75" i="1" s="1"/>
  <c r="G70" i="1"/>
  <c r="H70" i="1" s="1"/>
  <c r="P68" i="1"/>
  <c r="O68" i="1"/>
  <c r="N68" i="1"/>
  <c r="M68" i="1"/>
  <c r="L68" i="1"/>
  <c r="K68" i="1"/>
  <c r="J68" i="1"/>
  <c r="I68" i="1"/>
  <c r="H68" i="1"/>
  <c r="G68" i="1"/>
  <c r="F68" i="1"/>
  <c r="G65" i="1"/>
  <c r="F65" i="1"/>
  <c r="F63" i="1"/>
  <c r="F62" i="1"/>
  <c r="G61" i="1"/>
  <c r="H61" i="1" s="1"/>
  <c r="I61" i="1" s="1"/>
  <c r="J61" i="1" s="1"/>
  <c r="K61" i="1" s="1"/>
  <c r="L61" i="1" s="1"/>
  <c r="M61" i="1" s="1"/>
  <c r="N61" i="1" s="1"/>
  <c r="O61" i="1" s="1"/>
  <c r="P61" i="1" s="1"/>
  <c r="F60" i="1"/>
  <c r="H59" i="1"/>
  <c r="I59" i="1" s="1"/>
  <c r="J59" i="1" s="1"/>
  <c r="K59" i="1" s="1"/>
  <c r="L59" i="1" s="1"/>
  <c r="M59" i="1" s="1"/>
  <c r="N59" i="1" s="1"/>
  <c r="O59" i="1" s="1"/>
  <c r="P59" i="1" s="1"/>
  <c r="G59" i="1"/>
  <c r="F58" i="1"/>
  <c r="G57" i="1"/>
  <c r="P55" i="1"/>
  <c r="O55" i="1"/>
  <c r="N55" i="1"/>
  <c r="M55" i="1"/>
  <c r="L55" i="1"/>
  <c r="K55" i="1"/>
  <c r="J55" i="1"/>
  <c r="I55" i="1"/>
  <c r="H55" i="1"/>
  <c r="G55" i="1"/>
  <c r="F55" i="1"/>
  <c r="F54" i="1"/>
  <c r="F52" i="1"/>
  <c r="G50" i="1"/>
  <c r="H50" i="1" s="1"/>
  <c r="I50" i="1" s="1"/>
  <c r="J50" i="1" s="1"/>
  <c r="K50" i="1" s="1"/>
  <c r="L50" i="1" s="1"/>
  <c r="M50" i="1" s="1"/>
  <c r="N50" i="1" s="1"/>
  <c r="O50" i="1" s="1"/>
  <c r="P50" i="1" s="1"/>
  <c r="F49" i="1"/>
  <c r="G48" i="1"/>
  <c r="H48" i="1" s="1"/>
  <c r="I48" i="1" s="1"/>
  <c r="J48" i="1" s="1"/>
  <c r="K48" i="1" s="1"/>
  <c r="L48" i="1" s="1"/>
  <c r="M48" i="1" s="1"/>
  <c r="N48" i="1" s="1"/>
  <c r="O48" i="1" s="1"/>
  <c r="P48" i="1" s="1"/>
  <c r="F47" i="1"/>
  <c r="F51" i="1" s="1"/>
  <c r="G46" i="1"/>
  <c r="G47" i="1" s="1"/>
  <c r="P44" i="1"/>
  <c r="O44" i="1"/>
  <c r="N44" i="1"/>
  <c r="M44" i="1"/>
  <c r="L44" i="1"/>
  <c r="K44" i="1"/>
  <c r="J44" i="1"/>
  <c r="I44" i="1"/>
  <c r="H44" i="1"/>
  <c r="G44" i="1"/>
  <c r="F44" i="1"/>
  <c r="F43" i="1"/>
  <c r="F41" i="1"/>
  <c r="G39" i="1"/>
  <c r="H39" i="1" s="1"/>
  <c r="I39" i="1" s="1"/>
  <c r="J39" i="1" s="1"/>
  <c r="K39" i="1" s="1"/>
  <c r="L39" i="1" s="1"/>
  <c r="M39" i="1" s="1"/>
  <c r="N39" i="1" s="1"/>
  <c r="O39" i="1" s="1"/>
  <c r="P39" i="1" s="1"/>
  <c r="F38" i="1"/>
  <c r="L37" i="1"/>
  <c r="M37" i="1" s="1"/>
  <c r="N37" i="1" s="1"/>
  <c r="O37" i="1" s="1"/>
  <c r="P37" i="1" s="1"/>
  <c r="H37" i="1"/>
  <c r="I37" i="1" s="1"/>
  <c r="J37" i="1" s="1"/>
  <c r="K37" i="1" s="1"/>
  <c r="G37" i="1"/>
  <c r="F36" i="1"/>
  <c r="F40" i="1" s="1"/>
  <c r="G35" i="1"/>
  <c r="P33" i="1"/>
  <c r="O33" i="1"/>
  <c r="N33" i="1"/>
  <c r="M33" i="1"/>
  <c r="L33" i="1"/>
  <c r="K33" i="1"/>
  <c r="J33" i="1"/>
  <c r="I33" i="1"/>
  <c r="H33" i="1"/>
  <c r="G33" i="1"/>
  <c r="F33" i="1"/>
  <c r="G32" i="1"/>
  <c r="F32" i="1"/>
  <c r="F30" i="1"/>
  <c r="G28" i="1"/>
  <c r="H28" i="1" s="1"/>
  <c r="I28" i="1" s="1"/>
  <c r="J28" i="1" s="1"/>
  <c r="K28" i="1" s="1"/>
  <c r="L28" i="1" s="1"/>
  <c r="M28" i="1" s="1"/>
  <c r="N28" i="1" s="1"/>
  <c r="O28" i="1" s="1"/>
  <c r="P28" i="1" s="1"/>
  <c r="F27" i="1"/>
  <c r="H26" i="1"/>
  <c r="I26" i="1" s="1"/>
  <c r="J26" i="1" s="1"/>
  <c r="K26" i="1" s="1"/>
  <c r="L26" i="1" s="1"/>
  <c r="M26" i="1" s="1"/>
  <c r="N26" i="1" s="1"/>
  <c r="O26" i="1" s="1"/>
  <c r="P26" i="1" s="1"/>
  <c r="G26" i="1"/>
  <c r="F25" i="1"/>
  <c r="F29" i="1" s="1"/>
  <c r="H24" i="1"/>
  <c r="H32" i="1" s="1"/>
  <c r="G24" i="1"/>
  <c r="G25" i="1" s="1"/>
  <c r="P22" i="1"/>
  <c r="O22" i="1"/>
  <c r="N22" i="1"/>
  <c r="M22" i="1"/>
  <c r="L22" i="1"/>
  <c r="K22" i="1"/>
  <c r="J22" i="1"/>
  <c r="I22" i="1"/>
  <c r="H22" i="1"/>
  <c r="G22" i="1"/>
  <c r="F22" i="1"/>
  <c r="F21" i="1"/>
  <c r="F19" i="1"/>
  <c r="G17" i="1"/>
  <c r="H17" i="1" s="1"/>
  <c r="I17" i="1" s="1"/>
  <c r="J17" i="1" s="1"/>
  <c r="K17" i="1" s="1"/>
  <c r="L17" i="1" s="1"/>
  <c r="M17" i="1" s="1"/>
  <c r="N17" i="1" s="1"/>
  <c r="O17" i="1" s="1"/>
  <c r="P17" i="1" s="1"/>
  <c r="F16" i="1"/>
  <c r="I15" i="1"/>
  <c r="J15" i="1" s="1"/>
  <c r="K15" i="1" s="1"/>
  <c r="L15" i="1" s="1"/>
  <c r="M15" i="1" s="1"/>
  <c r="N15" i="1" s="1"/>
  <c r="O15" i="1" s="1"/>
  <c r="P15" i="1" s="1"/>
  <c r="H15" i="1"/>
  <c r="G15" i="1"/>
  <c r="F14" i="1"/>
  <c r="F18" i="1" s="1"/>
  <c r="G13" i="1"/>
  <c r="P11" i="1"/>
  <c r="O11" i="1"/>
  <c r="N11" i="1"/>
  <c r="M11" i="1"/>
  <c r="L11" i="1"/>
  <c r="K11" i="1"/>
  <c r="J11" i="1"/>
  <c r="I11" i="1"/>
  <c r="H11" i="1"/>
  <c r="G11" i="1"/>
  <c r="F11" i="1"/>
  <c r="G10" i="1"/>
  <c r="F10" i="1"/>
  <c r="F8" i="1"/>
  <c r="G6" i="1"/>
  <c r="H6" i="1" s="1"/>
  <c r="I6" i="1" s="1"/>
  <c r="J6" i="1" s="1"/>
  <c r="K6" i="1" s="1"/>
  <c r="L6" i="1" s="1"/>
  <c r="M6" i="1" s="1"/>
  <c r="N6" i="1" s="1"/>
  <c r="O6" i="1" s="1"/>
  <c r="P6" i="1" s="1"/>
  <c r="F5" i="1"/>
  <c r="F7" i="1" s="1"/>
  <c r="H4" i="1"/>
  <c r="I4" i="1" s="1"/>
  <c r="J4" i="1" s="1"/>
  <c r="K4" i="1" s="1"/>
  <c r="L4" i="1" s="1"/>
  <c r="M4" i="1" s="1"/>
  <c r="N4" i="1" s="1"/>
  <c r="O4" i="1" s="1"/>
  <c r="P4" i="1" s="1"/>
  <c r="G4" i="1"/>
  <c r="F3" i="1"/>
  <c r="G2" i="1"/>
  <c r="G3" i="1" s="1"/>
  <c r="F56" i="1" l="1"/>
  <c r="F53" i="1"/>
  <c r="F12" i="1"/>
  <c r="F9" i="1"/>
  <c r="F23" i="1"/>
  <c r="F20" i="1"/>
  <c r="F34" i="1"/>
  <c r="F31" i="1"/>
  <c r="G21" i="1"/>
  <c r="G27" i="1"/>
  <c r="G30" i="1"/>
  <c r="F131" i="1"/>
  <c r="F134" i="1" s="1"/>
  <c r="F129" i="1"/>
  <c r="I135" i="1"/>
  <c r="H141" i="1"/>
  <c r="H136" i="1"/>
  <c r="H143" i="1"/>
  <c r="F144" i="1"/>
  <c r="F147" i="1" s="1"/>
  <c r="I24" i="1"/>
  <c r="H35" i="1"/>
  <c r="G36" i="1"/>
  <c r="G40" i="1" s="1"/>
  <c r="G43" i="1"/>
  <c r="G5" i="1"/>
  <c r="G8" i="1"/>
  <c r="H2" i="1"/>
  <c r="G14" i="1"/>
  <c r="G18" i="1" s="1"/>
  <c r="G29" i="1"/>
  <c r="G114" i="1"/>
  <c r="H109" i="1"/>
  <c r="G110" i="1"/>
  <c r="G117" i="1"/>
  <c r="F45" i="1"/>
  <c r="F92" i="1"/>
  <c r="F95" i="1" s="1"/>
  <c r="F90" i="1"/>
  <c r="G41" i="1"/>
  <c r="J83" i="1"/>
  <c r="I84" i="1"/>
  <c r="I88" i="1" s="1"/>
  <c r="I91" i="1"/>
  <c r="G115" i="1"/>
  <c r="F170" i="1"/>
  <c r="F173" i="1" s="1"/>
  <c r="F168" i="1"/>
  <c r="H27" i="1"/>
  <c r="G7" i="1"/>
  <c r="H78" i="1"/>
  <c r="I70" i="1"/>
  <c r="H76" i="1"/>
  <c r="H73" i="1"/>
  <c r="H71" i="1"/>
  <c r="I89" i="1"/>
  <c r="H138" i="1"/>
  <c r="H140" i="1" s="1"/>
  <c r="G16" i="1"/>
  <c r="G19" i="1"/>
  <c r="F42" i="1"/>
  <c r="F66" i="1"/>
  <c r="F69" i="1" s="1"/>
  <c r="F64" i="1"/>
  <c r="H30" i="1"/>
  <c r="H13" i="1"/>
  <c r="H75" i="1"/>
  <c r="H25" i="1"/>
  <c r="H29" i="1" s="1"/>
  <c r="F79" i="1"/>
  <c r="F82" i="1" s="1"/>
  <c r="F77" i="1"/>
  <c r="I148" i="1"/>
  <c r="H154" i="1"/>
  <c r="H151" i="1"/>
  <c r="H149" i="1"/>
  <c r="H156" i="1"/>
  <c r="H153" i="1"/>
  <c r="G38" i="1"/>
  <c r="I96" i="1"/>
  <c r="H97" i="1"/>
  <c r="H101" i="1" s="1"/>
  <c r="H104" i="1"/>
  <c r="F105" i="1"/>
  <c r="F108" i="1" s="1"/>
  <c r="F103" i="1"/>
  <c r="G112" i="1"/>
  <c r="F118" i="1"/>
  <c r="F121" i="1" s="1"/>
  <c r="H123" i="1"/>
  <c r="H130" i="1"/>
  <c r="H127" i="1"/>
  <c r="F153" i="1"/>
  <c r="I122" i="1"/>
  <c r="G136" i="1"/>
  <c r="G143" i="1"/>
  <c r="G140" i="1"/>
  <c r="G49" i="1"/>
  <c r="G52" i="1"/>
  <c r="G127" i="1"/>
  <c r="I161" i="1"/>
  <c r="H174" i="1"/>
  <c r="H46" i="1"/>
  <c r="G58" i="1"/>
  <c r="G62" i="1" s="1"/>
  <c r="G130" i="1"/>
  <c r="G71" i="1"/>
  <c r="G156" i="1"/>
  <c r="G166" i="1"/>
  <c r="H84" i="1"/>
  <c r="G97" i="1"/>
  <c r="H166" i="1"/>
  <c r="G169" i="1"/>
  <c r="G179" i="1"/>
  <c r="G51" i="1"/>
  <c r="G182" i="1"/>
  <c r="G54" i="1"/>
  <c r="G60" i="1"/>
  <c r="G63" i="1"/>
  <c r="H57" i="1"/>
  <c r="G73" i="1"/>
  <c r="G76" i="1"/>
  <c r="G86" i="1"/>
  <c r="G88" i="1" s="1"/>
  <c r="G89" i="1"/>
  <c r="G149" i="1"/>
  <c r="G153" i="1" s="1"/>
  <c r="H86" i="1"/>
  <c r="H89" i="1"/>
  <c r="G99" i="1"/>
  <c r="G102" i="1"/>
  <c r="F181" i="1"/>
  <c r="G125" i="1"/>
  <c r="G151" i="1"/>
  <c r="G154" i="1"/>
  <c r="H88" i="1"/>
  <c r="G101" i="1"/>
  <c r="G164" i="1"/>
  <c r="H164" i="1"/>
  <c r="G177" i="1"/>
  <c r="H34" i="1" l="1"/>
  <c r="H31" i="1"/>
  <c r="G66" i="1"/>
  <c r="G69" i="1" s="1"/>
  <c r="G64" i="1"/>
  <c r="G23" i="1"/>
  <c r="G20" i="1"/>
  <c r="H105" i="1"/>
  <c r="H108" i="1" s="1"/>
  <c r="H103" i="1"/>
  <c r="G45" i="1"/>
  <c r="G42" i="1"/>
  <c r="H144" i="1"/>
  <c r="H147" i="1" s="1"/>
  <c r="H142" i="1"/>
  <c r="G157" i="1"/>
  <c r="G160" i="1" s="1"/>
  <c r="G155" i="1"/>
  <c r="I92" i="1"/>
  <c r="I95" i="1" s="1"/>
  <c r="I90" i="1"/>
  <c r="J135" i="1"/>
  <c r="I141" i="1"/>
  <c r="I138" i="1"/>
  <c r="I136" i="1"/>
  <c r="I143" i="1"/>
  <c r="I140" i="1"/>
  <c r="G9" i="1"/>
  <c r="G12" i="1"/>
  <c r="I162" i="1"/>
  <c r="I169" i="1"/>
  <c r="J161" i="1"/>
  <c r="I167" i="1"/>
  <c r="I164" i="1"/>
  <c r="I166" i="1" s="1"/>
  <c r="G129" i="1"/>
  <c r="G131" i="1"/>
  <c r="G134" i="1" s="1"/>
  <c r="G118" i="1"/>
  <c r="G121" i="1" s="1"/>
  <c r="G116" i="1"/>
  <c r="G34" i="1"/>
  <c r="G31" i="1"/>
  <c r="H90" i="1"/>
  <c r="H92" i="1"/>
  <c r="H95" i="1" s="1"/>
  <c r="H115" i="1"/>
  <c r="H112" i="1"/>
  <c r="H110" i="1"/>
  <c r="H117" i="1"/>
  <c r="H114" i="1"/>
  <c r="I109" i="1"/>
  <c r="G103" i="1"/>
  <c r="G105" i="1"/>
  <c r="G108" i="1" s="1"/>
  <c r="H79" i="1"/>
  <c r="H82" i="1" s="1"/>
  <c r="H77" i="1"/>
  <c r="G170" i="1"/>
  <c r="G173" i="1" s="1"/>
  <c r="G168" i="1"/>
  <c r="H129" i="1"/>
  <c r="H131" i="1"/>
  <c r="H134" i="1" s="1"/>
  <c r="G92" i="1"/>
  <c r="G95" i="1" s="1"/>
  <c r="G90" i="1"/>
  <c r="I154" i="1"/>
  <c r="I151" i="1"/>
  <c r="I149" i="1"/>
  <c r="I156" i="1"/>
  <c r="I153" i="1"/>
  <c r="J148" i="1"/>
  <c r="G75" i="1"/>
  <c r="I78" i="1"/>
  <c r="I75" i="1"/>
  <c r="I76" i="1"/>
  <c r="I73" i="1"/>
  <c r="I71" i="1"/>
  <c r="J70" i="1"/>
  <c r="H175" i="1"/>
  <c r="H182" i="1"/>
  <c r="I174" i="1"/>
  <c r="H180" i="1"/>
  <c r="H177" i="1"/>
  <c r="H179" i="1" s="1"/>
  <c r="H10" i="1"/>
  <c r="I2" i="1"/>
  <c r="H8" i="1"/>
  <c r="H5" i="1"/>
  <c r="H3" i="1"/>
  <c r="H7" i="1" s="1"/>
  <c r="G144" i="1"/>
  <c r="G147" i="1" s="1"/>
  <c r="G142" i="1"/>
  <c r="H157" i="1"/>
  <c r="H160" i="1" s="1"/>
  <c r="H155" i="1"/>
  <c r="H54" i="1"/>
  <c r="I46" i="1"/>
  <c r="H52" i="1"/>
  <c r="H49" i="1"/>
  <c r="H47" i="1"/>
  <c r="H51" i="1" s="1"/>
  <c r="I13" i="1"/>
  <c r="H19" i="1"/>
  <c r="H16" i="1"/>
  <c r="H14" i="1"/>
  <c r="H21" i="1"/>
  <c r="H18" i="1"/>
  <c r="G53" i="1"/>
  <c r="G56" i="1"/>
  <c r="I102" i="1"/>
  <c r="I99" i="1"/>
  <c r="I97" i="1"/>
  <c r="I104" i="1"/>
  <c r="I101" i="1"/>
  <c r="J96" i="1"/>
  <c r="G181" i="1"/>
  <c r="G183" i="1"/>
  <c r="G185" i="1" s="1"/>
  <c r="H168" i="1"/>
  <c r="H170" i="1"/>
  <c r="H173" i="1" s="1"/>
  <c r="J89" i="1"/>
  <c r="J86" i="1"/>
  <c r="J84" i="1"/>
  <c r="J91" i="1"/>
  <c r="J88" i="1"/>
  <c r="K83" i="1"/>
  <c r="J122" i="1"/>
  <c r="I123" i="1"/>
  <c r="I130" i="1"/>
  <c r="I128" i="1"/>
  <c r="I125" i="1"/>
  <c r="I127" i="1" s="1"/>
  <c r="H41" i="1"/>
  <c r="H38" i="1"/>
  <c r="H36" i="1"/>
  <c r="H43" i="1"/>
  <c r="H40" i="1"/>
  <c r="I35" i="1"/>
  <c r="F157" i="1"/>
  <c r="F160" i="1" s="1"/>
  <c r="F155" i="1"/>
  <c r="I25" i="1"/>
  <c r="I29" i="1" s="1"/>
  <c r="I32" i="1"/>
  <c r="J24" i="1"/>
  <c r="I30" i="1"/>
  <c r="I27" i="1"/>
  <c r="I57" i="1"/>
  <c r="H63" i="1"/>
  <c r="H60" i="1"/>
  <c r="H58" i="1"/>
  <c r="H62" i="1"/>
  <c r="H65" i="1"/>
  <c r="I168" i="1" l="1"/>
  <c r="I170" i="1"/>
  <c r="I173" i="1" s="1"/>
  <c r="I34" i="1"/>
  <c r="I31" i="1"/>
  <c r="H12" i="1"/>
  <c r="H9" i="1"/>
  <c r="H181" i="1"/>
  <c r="H183" i="1"/>
  <c r="H185" i="1" s="1"/>
  <c r="I131" i="1"/>
  <c r="I134" i="1" s="1"/>
  <c r="I129" i="1"/>
  <c r="H56" i="1"/>
  <c r="H53" i="1"/>
  <c r="I36" i="1"/>
  <c r="I43" i="1"/>
  <c r="I38" i="1"/>
  <c r="I40" i="1" s="1"/>
  <c r="I41" i="1"/>
  <c r="J35" i="1"/>
  <c r="I77" i="1"/>
  <c r="I79" i="1"/>
  <c r="I82" i="1" s="1"/>
  <c r="H116" i="1"/>
  <c r="H118" i="1"/>
  <c r="H121" i="1" s="1"/>
  <c r="I155" i="1"/>
  <c r="I157" i="1"/>
  <c r="I160" i="1" s="1"/>
  <c r="H23" i="1"/>
  <c r="H20" i="1"/>
  <c r="I110" i="1"/>
  <c r="I117" i="1"/>
  <c r="I112" i="1"/>
  <c r="I114" i="1" s="1"/>
  <c r="I115" i="1"/>
  <c r="J109" i="1"/>
  <c r="I3" i="1"/>
  <c r="I10" i="1"/>
  <c r="J2" i="1"/>
  <c r="I8" i="1"/>
  <c r="I5" i="1"/>
  <c r="I7" i="1" s="1"/>
  <c r="H66" i="1"/>
  <c r="H69" i="1" s="1"/>
  <c r="H64" i="1"/>
  <c r="J13" i="1"/>
  <c r="I19" i="1"/>
  <c r="I16" i="1"/>
  <c r="I14" i="1"/>
  <c r="I18" i="1" s="1"/>
  <c r="I21" i="1"/>
  <c r="I182" i="1"/>
  <c r="I179" i="1"/>
  <c r="J174" i="1"/>
  <c r="I180" i="1"/>
  <c r="I177" i="1"/>
  <c r="I175" i="1"/>
  <c r="I65" i="1"/>
  <c r="J57" i="1"/>
  <c r="I63" i="1"/>
  <c r="I60" i="1"/>
  <c r="I58" i="1"/>
  <c r="I62" i="1"/>
  <c r="I144" i="1"/>
  <c r="I147" i="1" s="1"/>
  <c r="I142" i="1"/>
  <c r="K70" i="1"/>
  <c r="J71" i="1"/>
  <c r="J75" i="1" s="1"/>
  <c r="J78" i="1"/>
  <c r="J76" i="1"/>
  <c r="J73" i="1"/>
  <c r="J90" i="1"/>
  <c r="J92" i="1"/>
  <c r="J95" i="1" s="1"/>
  <c r="H45" i="1"/>
  <c r="H42" i="1"/>
  <c r="J169" i="1"/>
  <c r="K161" i="1"/>
  <c r="J167" i="1"/>
  <c r="J164" i="1"/>
  <c r="J162" i="1"/>
  <c r="J166" i="1" s="1"/>
  <c r="J97" i="1"/>
  <c r="J104" i="1"/>
  <c r="J99" i="1"/>
  <c r="J101" i="1" s="1"/>
  <c r="K96" i="1"/>
  <c r="J102" i="1"/>
  <c r="I103" i="1"/>
  <c r="I105" i="1"/>
  <c r="I108" i="1" s="1"/>
  <c r="J25" i="1"/>
  <c r="J32" i="1"/>
  <c r="K24" i="1"/>
  <c r="J30" i="1"/>
  <c r="J27" i="1"/>
  <c r="J29" i="1" s="1"/>
  <c r="K122" i="1"/>
  <c r="J128" i="1"/>
  <c r="J125" i="1"/>
  <c r="J123" i="1"/>
  <c r="J130" i="1"/>
  <c r="J127" i="1"/>
  <c r="G79" i="1"/>
  <c r="G82" i="1" s="1"/>
  <c r="G77" i="1"/>
  <c r="J149" i="1"/>
  <c r="J156" i="1"/>
  <c r="K148" i="1"/>
  <c r="J154" i="1"/>
  <c r="J151" i="1"/>
  <c r="J153" i="1" s="1"/>
  <c r="I54" i="1"/>
  <c r="J46" i="1"/>
  <c r="I52" i="1"/>
  <c r="I49" i="1"/>
  <c r="I47" i="1"/>
  <c r="I51" i="1" s="1"/>
  <c r="K84" i="1"/>
  <c r="K88" i="1" s="1"/>
  <c r="K91" i="1"/>
  <c r="K89" i="1"/>
  <c r="L83" i="1"/>
  <c r="K86" i="1"/>
  <c r="J141" i="1"/>
  <c r="J138" i="1"/>
  <c r="J136" i="1"/>
  <c r="J143" i="1"/>
  <c r="J140" i="1"/>
  <c r="K135" i="1"/>
  <c r="I45" i="1" l="1"/>
  <c r="I42" i="1"/>
  <c r="J155" i="1"/>
  <c r="J157" i="1"/>
  <c r="J160" i="1" s="1"/>
  <c r="J79" i="1"/>
  <c r="J82" i="1" s="1"/>
  <c r="J77" i="1"/>
  <c r="I23" i="1"/>
  <c r="I20" i="1"/>
  <c r="J170" i="1"/>
  <c r="J173" i="1" s="1"/>
  <c r="J168" i="1"/>
  <c r="K90" i="1"/>
  <c r="K92" i="1"/>
  <c r="K95" i="1" s="1"/>
  <c r="I56" i="1"/>
  <c r="I53" i="1"/>
  <c r="J34" i="1"/>
  <c r="J31" i="1"/>
  <c r="I116" i="1"/>
  <c r="I118" i="1"/>
  <c r="I121" i="1" s="1"/>
  <c r="J103" i="1"/>
  <c r="J105" i="1"/>
  <c r="J108" i="1" s="1"/>
  <c r="I12" i="1"/>
  <c r="I9" i="1"/>
  <c r="J131" i="1"/>
  <c r="J134" i="1" s="1"/>
  <c r="J129" i="1"/>
  <c r="K109" i="1"/>
  <c r="J110" i="1"/>
  <c r="J117" i="1"/>
  <c r="J115" i="1"/>
  <c r="J112" i="1"/>
  <c r="J114" i="1" s="1"/>
  <c r="I183" i="1"/>
  <c r="I185" i="1" s="1"/>
  <c r="I181" i="1"/>
  <c r="K128" i="1"/>
  <c r="K125" i="1"/>
  <c r="K130" i="1"/>
  <c r="L122" i="1"/>
  <c r="K123" i="1"/>
  <c r="K127" i="1" s="1"/>
  <c r="K136" i="1"/>
  <c r="K143" i="1"/>
  <c r="L135" i="1"/>
  <c r="K141" i="1"/>
  <c r="K138" i="1"/>
  <c r="K140" i="1" s="1"/>
  <c r="K13" i="1"/>
  <c r="J19" i="1"/>
  <c r="J16" i="1"/>
  <c r="J14" i="1"/>
  <c r="J18" i="1" s="1"/>
  <c r="J21" i="1"/>
  <c r="K156" i="1"/>
  <c r="L148" i="1"/>
  <c r="K154" i="1"/>
  <c r="K151" i="1"/>
  <c r="K149" i="1"/>
  <c r="K153" i="1" s="1"/>
  <c r="K76" i="1"/>
  <c r="K73" i="1"/>
  <c r="K71" i="1"/>
  <c r="K78" i="1"/>
  <c r="K75" i="1"/>
  <c r="L70" i="1"/>
  <c r="I66" i="1"/>
  <c r="I69" i="1" s="1"/>
  <c r="I64" i="1"/>
  <c r="J10" i="1"/>
  <c r="K2" i="1"/>
  <c r="J8" i="1"/>
  <c r="J5" i="1"/>
  <c r="J3" i="1"/>
  <c r="J7" i="1" s="1"/>
  <c r="K32" i="1"/>
  <c r="K25" i="1"/>
  <c r="L24" i="1"/>
  <c r="K30" i="1"/>
  <c r="K27" i="1"/>
  <c r="K29" i="1" s="1"/>
  <c r="J65" i="1"/>
  <c r="J63" i="1"/>
  <c r="J60" i="1"/>
  <c r="J62" i="1" s="1"/>
  <c r="J58" i="1"/>
  <c r="K57" i="1"/>
  <c r="M83" i="1"/>
  <c r="L84" i="1"/>
  <c r="L91" i="1"/>
  <c r="L89" i="1"/>
  <c r="L86" i="1"/>
  <c r="L88" i="1" s="1"/>
  <c r="J142" i="1"/>
  <c r="J144" i="1"/>
  <c r="J147" i="1" s="1"/>
  <c r="K35" i="1"/>
  <c r="J36" i="1"/>
  <c r="J43" i="1"/>
  <c r="J41" i="1"/>
  <c r="J38" i="1"/>
  <c r="J40" i="1" s="1"/>
  <c r="J47" i="1"/>
  <c r="J54" i="1"/>
  <c r="J52" i="1"/>
  <c r="J49" i="1"/>
  <c r="J51" i="1" s="1"/>
  <c r="K46" i="1"/>
  <c r="K162" i="1"/>
  <c r="K169" i="1"/>
  <c r="L161" i="1"/>
  <c r="K167" i="1"/>
  <c r="K164" i="1"/>
  <c r="K166" i="1" s="1"/>
  <c r="L96" i="1"/>
  <c r="K97" i="1"/>
  <c r="K104" i="1"/>
  <c r="K101" i="1"/>
  <c r="K99" i="1"/>
  <c r="K102" i="1"/>
  <c r="J175" i="1"/>
  <c r="J182" i="1"/>
  <c r="K174" i="1"/>
  <c r="J180" i="1"/>
  <c r="J177" i="1"/>
  <c r="J179" i="1" s="1"/>
  <c r="J12" i="1" l="1"/>
  <c r="J9" i="1"/>
  <c r="J181" i="1"/>
  <c r="J183" i="1"/>
  <c r="J185" i="1" s="1"/>
  <c r="K168" i="1"/>
  <c r="K170" i="1"/>
  <c r="K173" i="1" s="1"/>
  <c r="L92" i="1"/>
  <c r="L95" i="1" s="1"/>
  <c r="L90" i="1"/>
  <c r="J23" i="1"/>
  <c r="J20" i="1"/>
  <c r="J118" i="1"/>
  <c r="J121" i="1" s="1"/>
  <c r="J116" i="1"/>
  <c r="J56" i="1"/>
  <c r="J53" i="1"/>
  <c r="J45" i="1"/>
  <c r="J42" i="1"/>
  <c r="K142" i="1"/>
  <c r="K144" i="1"/>
  <c r="K147" i="1" s="1"/>
  <c r="J66" i="1"/>
  <c r="J69" i="1" s="1"/>
  <c r="J64" i="1"/>
  <c r="K31" i="1"/>
  <c r="K34" i="1"/>
  <c r="K129" i="1"/>
  <c r="K131" i="1"/>
  <c r="K134" i="1" s="1"/>
  <c r="K157" i="1"/>
  <c r="K160" i="1" s="1"/>
  <c r="K155" i="1"/>
  <c r="K77" i="1"/>
  <c r="K79" i="1"/>
  <c r="K82" i="1" s="1"/>
  <c r="L143" i="1"/>
  <c r="L140" i="1"/>
  <c r="M135" i="1"/>
  <c r="L141" i="1"/>
  <c r="L138" i="1"/>
  <c r="L136" i="1"/>
  <c r="L149" i="1"/>
  <c r="L156" i="1"/>
  <c r="M148" i="1"/>
  <c r="L154" i="1"/>
  <c r="L151" i="1"/>
  <c r="L153" i="1" s="1"/>
  <c r="L123" i="1"/>
  <c r="L130" i="1"/>
  <c r="M122" i="1"/>
  <c r="L128" i="1"/>
  <c r="L125" i="1"/>
  <c r="L127" i="1" s="1"/>
  <c r="L13" i="1"/>
  <c r="K19" i="1"/>
  <c r="K16" i="1"/>
  <c r="K14" i="1"/>
  <c r="K21" i="1"/>
  <c r="K18" i="1"/>
  <c r="L32" i="1"/>
  <c r="M24" i="1"/>
  <c r="L30" i="1"/>
  <c r="L27" i="1"/>
  <c r="L25" i="1"/>
  <c r="L29" i="1" s="1"/>
  <c r="K47" i="1"/>
  <c r="L46" i="1"/>
  <c r="K49" i="1"/>
  <c r="K51" i="1" s="1"/>
  <c r="K54" i="1"/>
  <c r="K52" i="1"/>
  <c r="K105" i="1"/>
  <c r="K108" i="1" s="1"/>
  <c r="K103" i="1"/>
  <c r="L109" i="1"/>
  <c r="K115" i="1"/>
  <c r="K112" i="1"/>
  <c r="K110" i="1"/>
  <c r="K117" i="1"/>
  <c r="K114" i="1"/>
  <c r="N83" i="1"/>
  <c r="M89" i="1"/>
  <c r="M86" i="1"/>
  <c r="M84" i="1"/>
  <c r="M91" i="1"/>
  <c r="M88" i="1"/>
  <c r="K10" i="1"/>
  <c r="K7" i="1"/>
  <c r="L2" i="1"/>
  <c r="K8" i="1"/>
  <c r="K5" i="1"/>
  <c r="K3" i="1"/>
  <c r="L71" i="1"/>
  <c r="L78" i="1"/>
  <c r="L76" i="1"/>
  <c r="M70" i="1"/>
  <c r="L73" i="1"/>
  <c r="L75" i="1" s="1"/>
  <c r="K175" i="1"/>
  <c r="K182" i="1"/>
  <c r="L174" i="1"/>
  <c r="K180" i="1"/>
  <c r="K177" i="1"/>
  <c r="K179" i="1" s="1"/>
  <c r="L57" i="1"/>
  <c r="K58" i="1"/>
  <c r="K62" i="1" s="1"/>
  <c r="K65" i="1"/>
  <c r="K63" i="1"/>
  <c r="K60" i="1"/>
  <c r="M96" i="1"/>
  <c r="L102" i="1"/>
  <c r="L99" i="1"/>
  <c r="L97" i="1"/>
  <c r="L104" i="1"/>
  <c r="L101" i="1"/>
  <c r="L35" i="1"/>
  <c r="K41" i="1"/>
  <c r="K38" i="1"/>
  <c r="K36" i="1"/>
  <c r="K40" i="1" s="1"/>
  <c r="K43" i="1"/>
  <c r="L162" i="1"/>
  <c r="L169" i="1"/>
  <c r="M161" i="1"/>
  <c r="L167" i="1"/>
  <c r="L164" i="1"/>
  <c r="L166" i="1" s="1"/>
  <c r="L168" i="1" l="1"/>
  <c r="L170" i="1"/>
  <c r="L173" i="1" s="1"/>
  <c r="K66" i="1"/>
  <c r="K69" i="1" s="1"/>
  <c r="K64" i="1"/>
  <c r="K53" i="1"/>
  <c r="K56" i="1"/>
  <c r="L155" i="1"/>
  <c r="L157" i="1"/>
  <c r="L160" i="1" s="1"/>
  <c r="L129" i="1"/>
  <c r="L131" i="1"/>
  <c r="L134" i="1" s="1"/>
  <c r="K42" i="1"/>
  <c r="K45" i="1"/>
  <c r="L34" i="1"/>
  <c r="L31" i="1"/>
  <c r="L77" i="1"/>
  <c r="L79" i="1"/>
  <c r="L82" i="1" s="1"/>
  <c r="K181" i="1"/>
  <c r="K183" i="1"/>
  <c r="K185" i="1" s="1"/>
  <c r="K12" i="1"/>
  <c r="K9" i="1"/>
  <c r="L144" i="1"/>
  <c r="L147" i="1" s="1"/>
  <c r="L142" i="1"/>
  <c r="M130" i="1"/>
  <c r="N122" i="1"/>
  <c r="M128" i="1"/>
  <c r="M125" i="1"/>
  <c r="M123" i="1"/>
  <c r="M127" i="1" s="1"/>
  <c r="L41" i="1"/>
  <c r="L38" i="1"/>
  <c r="L43" i="1"/>
  <c r="M35" i="1"/>
  <c r="L36" i="1"/>
  <c r="L40" i="1" s="1"/>
  <c r="L19" i="1"/>
  <c r="L16" i="1"/>
  <c r="L14" i="1"/>
  <c r="L21" i="1"/>
  <c r="L18" i="1"/>
  <c r="M13" i="1"/>
  <c r="L105" i="1"/>
  <c r="L108" i="1" s="1"/>
  <c r="L103" i="1"/>
  <c r="K118" i="1"/>
  <c r="K121" i="1" s="1"/>
  <c r="K116" i="1"/>
  <c r="K23" i="1"/>
  <c r="K20" i="1"/>
  <c r="M143" i="1"/>
  <c r="M140" i="1"/>
  <c r="N135" i="1"/>
  <c r="M141" i="1"/>
  <c r="M138" i="1"/>
  <c r="M136" i="1"/>
  <c r="L175" i="1"/>
  <c r="L182" i="1"/>
  <c r="M174" i="1"/>
  <c r="L180" i="1"/>
  <c r="L177" i="1"/>
  <c r="L179" i="1" s="1"/>
  <c r="N89" i="1"/>
  <c r="N86" i="1"/>
  <c r="N91" i="1"/>
  <c r="O83" i="1"/>
  <c r="N84" i="1"/>
  <c r="N88" i="1" s="1"/>
  <c r="M102" i="1"/>
  <c r="M99" i="1"/>
  <c r="M104" i="1"/>
  <c r="N96" i="1"/>
  <c r="M97" i="1"/>
  <c r="M101" i="1" s="1"/>
  <c r="M162" i="1"/>
  <c r="M169" i="1"/>
  <c r="N161" i="1"/>
  <c r="M167" i="1"/>
  <c r="M164" i="1"/>
  <c r="M166" i="1" s="1"/>
  <c r="L115" i="1"/>
  <c r="L112" i="1"/>
  <c r="L117" i="1"/>
  <c r="L114" i="1"/>
  <c r="M109" i="1"/>
  <c r="L110" i="1"/>
  <c r="M92" i="1"/>
  <c r="M95" i="1" s="1"/>
  <c r="M90" i="1"/>
  <c r="M32" i="1"/>
  <c r="M25" i="1"/>
  <c r="N24" i="1"/>
  <c r="M30" i="1"/>
  <c r="M27" i="1"/>
  <c r="M29" i="1" s="1"/>
  <c r="M149" i="1"/>
  <c r="M156" i="1"/>
  <c r="N148" i="1"/>
  <c r="M154" i="1"/>
  <c r="M151" i="1"/>
  <c r="M153" i="1" s="1"/>
  <c r="L63" i="1"/>
  <c r="L60" i="1"/>
  <c r="L58" i="1"/>
  <c r="L65" i="1"/>
  <c r="L62" i="1"/>
  <c r="M57" i="1"/>
  <c r="L54" i="1"/>
  <c r="M46" i="1"/>
  <c r="L52" i="1"/>
  <c r="L49" i="1"/>
  <c r="L47" i="1"/>
  <c r="L51" i="1"/>
  <c r="N70" i="1"/>
  <c r="M71" i="1"/>
  <c r="M78" i="1"/>
  <c r="M75" i="1"/>
  <c r="M73" i="1"/>
  <c r="M76" i="1"/>
  <c r="L10" i="1"/>
  <c r="M2" i="1"/>
  <c r="L8" i="1"/>
  <c r="L5" i="1"/>
  <c r="L3" i="1"/>
  <c r="L7" i="1" s="1"/>
  <c r="N92" i="1" l="1"/>
  <c r="N95" i="1" s="1"/>
  <c r="N90" i="1"/>
  <c r="L45" i="1"/>
  <c r="L42" i="1"/>
  <c r="L12" i="1"/>
  <c r="L9" i="1"/>
  <c r="M131" i="1"/>
  <c r="M134" i="1" s="1"/>
  <c r="M129" i="1"/>
  <c r="M155" i="1"/>
  <c r="M157" i="1"/>
  <c r="M160" i="1" s="1"/>
  <c r="L181" i="1"/>
  <c r="L183" i="1"/>
  <c r="L185" i="1" s="1"/>
  <c r="M168" i="1"/>
  <c r="M170" i="1"/>
  <c r="M173" i="1" s="1"/>
  <c r="M34" i="1"/>
  <c r="M31" i="1"/>
  <c r="M105" i="1"/>
  <c r="M108" i="1" s="1"/>
  <c r="M103" i="1"/>
  <c r="M79" i="1"/>
  <c r="M82" i="1" s="1"/>
  <c r="M77" i="1"/>
  <c r="M142" i="1"/>
  <c r="M144" i="1"/>
  <c r="M147" i="1" s="1"/>
  <c r="N149" i="1"/>
  <c r="N156" i="1"/>
  <c r="O148" i="1"/>
  <c r="N154" i="1"/>
  <c r="N151" i="1"/>
  <c r="N153" i="1" s="1"/>
  <c r="N169" i="1"/>
  <c r="N166" i="1"/>
  <c r="O161" i="1"/>
  <c r="N167" i="1"/>
  <c r="N164" i="1"/>
  <c r="N162" i="1"/>
  <c r="N130" i="1"/>
  <c r="O122" i="1"/>
  <c r="N128" i="1"/>
  <c r="N125" i="1"/>
  <c r="N123" i="1"/>
  <c r="N127" i="1" s="1"/>
  <c r="L64" i="1"/>
  <c r="L66" i="1"/>
  <c r="L69" i="1" s="1"/>
  <c r="M182" i="1"/>
  <c r="N174" i="1"/>
  <c r="M180" i="1"/>
  <c r="M177" i="1"/>
  <c r="M175" i="1"/>
  <c r="M179" i="1" s="1"/>
  <c r="O84" i="1"/>
  <c r="O91" i="1"/>
  <c r="P83" i="1"/>
  <c r="O89" i="1"/>
  <c r="O86" i="1"/>
  <c r="O88" i="1" s="1"/>
  <c r="O70" i="1"/>
  <c r="N76" i="1"/>
  <c r="N73" i="1"/>
  <c r="N71" i="1"/>
  <c r="N75" i="1"/>
  <c r="N78" i="1"/>
  <c r="N46" i="1"/>
  <c r="M52" i="1"/>
  <c r="M49" i="1"/>
  <c r="M51" i="1" s="1"/>
  <c r="M47" i="1"/>
  <c r="M54" i="1"/>
  <c r="N13" i="1"/>
  <c r="M14" i="1"/>
  <c r="M21" i="1"/>
  <c r="M19" i="1"/>
  <c r="M16" i="1"/>
  <c r="M18" i="1" s="1"/>
  <c r="M58" i="1"/>
  <c r="M65" i="1"/>
  <c r="N57" i="1"/>
  <c r="M60" i="1"/>
  <c r="M62" i="1" s="1"/>
  <c r="M63" i="1"/>
  <c r="N97" i="1"/>
  <c r="N101" i="1" s="1"/>
  <c r="N104" i="1"/>
  <c r="O96" i="1"/>
  <c r="N102" i="1"/>
  <c r="N99" i="1"/>
  <c r="L118" i="1"/>
  <c r="L121" i="1" s="1"/>
  <c r="L116" i="1"/>
  <c r="L56" i="1"/>
  <c r="L53" i="1"/>
  <c r="L23" i="1"/>
  <c r="L20" i="1"/>
  <c r="M36" i="1"/>
  <c r="M43" i="1"/>
  <c r="N35" i="1"/>
  <c r="M41" i="1"/>
  <c r="M38" i="1"/>
  <c r="M40" i="1" s="1"/>
  <c r="O24" i="1"/>
  <c r="N30" i="1"/>
  <c r="N27" i="1"/>
  <c r="N32" i="1"/>
  <c r="N25" i="1"/>
  <c r="N29" i="1" s="1"/>
  <c r="N2" i="1"/>
  <c r="M8" i="1"/>
  <c r="M5" i="1"/>
  <c r="M3" i="1"/>
  <c r="M7" i="1" s="1"/>
  <c r="M10" i="1"/>
  <c r="M110" i="1"/>
  <c r="M117" i="1"/>
  <c r="M114" i="1"/>
  <c r="N109" i="1"/>
  <c r="M115" i="1"/>
  <c r="M112" i="1"/>
  <c r="N136" i="1"/>
  <c r="N143" i="1"/>
  <c r="O135" i="1"/>
  <c r="N141" i="1"/>
  <c r="N138" i="1"/>
  <c r="N140" i="1" s="1"/>
  <c r="M12" i="1" l="1"/>
  <c r="M9" i="1"/>
  <c r="N142" i="1"/>
  <c r="N144" i="1"/>
  <c r="N147" i="1" s="1"/>
  <c r="N34" i="1"/>
  <c r="N31" i="1"/>
  <c r="N155" i="1"/>
  <c r="N157" i="1"/>
  <c r="N160" i="1" s="1"/>
  <c r="N103" i="1"/>
  <c r="N105" i="1"/>
  <c r="N108" i="1" s="1"/>
  <c r="M64" i="1"/>
  <c r="M66" i="1"/>
  <c r="M69" i="1" s="1"/>
  <c r="M56" i="1"/>
  <c r="M53" i="1"/>
  <c r="N131" i="1"/>
  <c r="N134" i="1" s="1"/>
  <c r="N129" i="1"/>
  <c r="O90" i="1"/>
  <c r="O92" i="1"/>
  <c r="O95" i="1" s="1"/>
  <c r="M183" i="1"/>
  <c r="M185" i="1" s="1"/>
  <c r="M181" i="1"/>
  <c r="M42" i="1"/>
  <c r="M45" i="1"/>
  <c r="M23" i="1"/>
  <c r="M20" i="1"/>
  <c r="N117" i="1"/>
  <c r="O109" i="1"/>
  <c r="N115" i="1"/>
  <c r="N112" i="1"/>
  <c r="N110" i="1"/>
  <c r="N114" i="1" s="1"/>
  <c r="M116" i="1"/>
  <c r="M118" i="1"/>
  <c r="M121" i="1" s="1"/>
  <c r="O46" i="1"/>
  <c r="N52" i="1"/>
  <c r="N49" i="1"/>
  <c r="N51" i="1" s="1"/>
  <c r="N47" i="1"/>
  <c r="N54" i="1"/>
  <c r="O174" i="1"/>
  <c r="N180" i="1"/>
  <c r="N177" i="1"/>
  <c r="N175" i="1"/>
  <c r="N179" i="1" s="1"/>
  <c r="N182" i="1"/>
  <c r="P161" i="1"/>
  <c r="O167" i="1"/>
  <c r="O164" i="1"/>
  <c r="O166" i="1" s="1"/>
  <c r="O162" i="1"/>
  <c r="O169" i="1"/>
  <c r="O123" i="1"/>
  <c r="O127" i="1" s="1"/>
  <c r="O130" i="1"/>
  <c r="P122" i="1"/>
  <c r="O128" i="1"/>
  <c r="O125" i="1"/>
  <c r="O136" i="1"/>
  <c r="O143" i="1"/>
  <c r="P135" i="1"/>
  <c r="O141" i="1"/>
  <c r="O138" i="1"/>
  <c r="O140" i="1" s="1"/>
  <c r="P91" i="1"/>
  <c r="P88" i="1"/>
  <c r="P89" i="1"/>
  <c r="P86" i="1"/>
  <c r="P84" i="1"/>
  <c r="N170" i="1"/>
  <c r="N173" i="1" s="1"/>
  <c r="N168" i="1"/>
  <c r="O2" i="1"/>
  <c r="N8" i="1"/>
  <c r="N5" i="1"/>
  <c r="N10" i="1"/>
  <c r="N3" i="1"/>
  <c r="N7" i="1"/>
  <c r="O76" i="1"/>
  <c r="O73" i="1"/>
  <c r="O78" i="1"/>
  <c r="P70" i="1"/>
  <c r="O71" i="1"/>
  <c r="O75" i="1" s="1"/>
  <c r="N19" i="1"/>
  <c r="N14" i="1"/>
  <c r="N21" i="1"/>
  <c r="N16" i="1"/>
  <c r="N18" i="1"/>
  <c r="O13" i="1"/>
  <c r="N43" i="1"/>
  <c r="O35" i="1"/>
  <c r="N41" i="1"/>
  <c r="N38" i="1"/>
  <c r="N36" i="1"/>
  <c r="N40" i="1" s="1"/>
  <c r="O57" i="1"/>
  <c r="N58" i="1"/>
  <c r="N62" i="1" s="1"/>
  <c r="N65" i="1"/>
  <c r="N60" i="1"/>
  <c r="N63" i="1"/>
  <c r="O32" i="1"/>
  <c r="P24" i="1"/>
  <c r="O30" i="1"/>
  <c r="O27" i="1"/>
  <c r="O25" i="1"/>
  <c r="O29" i="1" s="1"/>
  <c r="O104" i="1"/>
  <c r="P96" i="1"/>
  <c r="O102" i="1"/>
  <c r="O99" i="1"/>
  <c r="O97" i="1"/>
  <c r="O101" i="1" s="1"/>
  <c r="N79" i="1"/>
  <c r="N82" i="1" s="1"/>
  <c r="N77" i="1"/>
  <c r="O156" i="1"/>
  <c r="P148" i="1"/>
  <c r="O154" i="1"/>
  <c r="O151" i="1"/>
  <c r="O149" i="1"/>
  <c r="O153" i="1" s="1"/>
  <c r="O79" i="1" l="1"/>
  <c r="O82" i="1" s="1"/>
  <c r="O77" i="1"/>
  <c r="O170" i="1"/>
  <c r="O173" i="1" s="1"/>
  <c r="O168" i="1"/>
  <c r="O142" i="1"/>
  <c r="O144" i="1"/>
  <c r="O147" i="1" s="1"/>
  <c r="O129" i="1"/>
  <c r="O131" i="1"/>
  <c r="O134" i="1" s="1"/>
  <c r="N45" i="1"/>
  <c r="N42" i="1"/>
  <c r="N56" i="1"/>
  <c r="N53" i="1"/>
  <c r="O34" i="1"/>
  <c r="O31" i="1"/>
  <c r="N118" i="1"/>
  <c r="N121" i="1" s="1"/>
  <c r="N116" i="1"/>
  <c r="O157" i="1"/>
  <c r="O160" i="1" s="1"/>
  <c r="O155" i="1"/>
  <c r="N183" i="1"/>
  <c r="N185" i="1" s="1"/>
  <c r="N181" i="1"/>
  <c r="N66" i="1"/>
  <c r="N69" i="1" s="1"/>
  <c r="N64" i="1"/>
  <c r="O105" i="1"/>
  <c r="O108" i="1" s="1"/>
  <c r="O103" i="1"/>
  <c r="P169" i="1"/>
  <c r="P167" i="1"/>
  <c r="P164" i="1"/>
  <c r="P162" i="1"/>
  <c r="P166" i="1"/>
  <c r="P104" i="1"/>
  <c r="P101" i="1"/>
  <c r="P102" i="1"/>
  <c r="P99" i="1"/>
  <c r="P97" i="1"/>
  <c r="P143" i="1"/>
  <c r="P141" i="1"/>
  <c r="P138" i="1"/>
  <c r="P136" i="1"/>
  <c r="P140" i="1" s="1"/>
  <c r="N12" i="1"/>
  <c r="N9" i="1"/>
  <c r="O43" i="1"/>
  <c r="P35" i="1"/>
  <c r="O41" i="1"/>
  <c r="O38" i="1"/>
  <c r="O36" i="1"/>
  <c r="O40" i="1" s="1"/>
  <c r="N23" i="1"/>
  <c r="N20" i="1"/>
  <c r="P71" i="1"/>
  <c r="P78" i="1"/>
  <c r="P76" i="1"/>
  <c r="P73" i="1"/>
  <c r="P75" i="1" s="1"/>
  <c r="O182" i="1"/>
  <c r="P174" i="1"/>
  <c r="O180" i="1"/>
  <c r="O177" i="1"/>
  <c r="O175" i="1"/>
  <c r="O179" i="1"/>
  <c r="O14" i="1"/>
  <c r="O21" i="1"/>
  <c r="O18" i="1"/>
  <c r="P13" i="1"/>
  <c r="O19" i="1"/>
  <c r="O16" i="1"/>
  <c r="P57" i="1"/>
  <c r="O63" i="1"/>
  <c r="O60" i="1"/>
  <c r="O58" i="1"/>
  <c r="O62" i="1"/>
  <c r="O65" i="1"/>
  <c r="P123" i="1"/>
  <c r="P130" i="1"/>
  <c r="P128" i="1"/>
  <c r="P125" i="1"/>
  <c r="P127" i="1" s="1"/>
  <c r="P154" i="1"/>
  <c r="P151" i="1"/>
  <c r="P153" i="1" s="1"/>
  <c r="P149" i="1"/>
  <c r="P156" i="1"/>
  <c r="P92" i="1"/>
  <c r="P95" i="1" s="1"/>
  <c r="P90" i="1"/>
  <c r="P32" i="1"/>
  <c r="P30" i="1"/>
  <c r="P27" i="1"/>
  <c r="P25" i="1"/>
  <c r="P29" i="1" s="1"/>
  <c r="P2" i="1"/>
  <c r="O8" i="1"/>
  <c r="O5" i="1"/>
  <c r="O3" i="1"/>
  <c r="O7" i="1"/>
  <c r="O10" i="1"/>
  <c r="O117" i="1"/>
  <c r="P109" i="1"/>
  <c r="O115" i="1"/>
  <c r="O112" i="1"/>
  <c r="O110" i="1"/>
  <c r="O114" i="1" s="1"/>
  <c r="O54" i="1"/>
  <c r="P46" i="1"/>
  <c r="O52" i="1"/>
  <c r="O49" i="1"/>
  <c r="O47" i="1"/>
  <c r="O51" i="1"/>
  <c r="P157" i="1" l="1"/>
  <c r="P160" i="1" s="1"/>
  <c r="P155" i="1"/>
  <c r="O45" i="1"/>
  <c r="O42" i="1"/>
  <c r="O118" i="1"/>
  <c r="O121" i="1" s="1"/>
  <c r="O116" i="1"/>
  <c r="P34" i="1"/>
  <c r="P31" i="1"/>
  <c r="P129" i="1"/>
  <c r="P131" i="1"/>
  <c r="P134" i="1" s="1"/>
  <c r="P144" i="1"/>
  <c r="P147" i="1" s="1"/>
  <c r="P142" i="1"/>
  <c r="P77" i="1"/>
  <c r="P79" i="1"/>
  <c r="P82" i="1" s="1"/>
  <c r="P170" i="1"/>
  <c r="P173" i="1" s="1"/>
  <c r="P168" i="1"/>
  <c r="O53" i="1"/>
  <c r="O56" i="1"/>
  <c r="O12" i="1"/>
  <c r="O9" i="1"/>
  <c r="P8" i="1"/>
  <c r="P5" i="1"/>
  <c r="P3" i="1"/>
  <c r="P10" i="1"/>
  <c r="P7" i="1"/>
  <c r="O23" i="1"/>
  <c r="O20" i="1"/>
  <c r="P36" i="1"/>
  <c r="P43" i="1"/>
  <c r="P41" i="1"/>
  <c r="P38" i="1"/>
  <c r="P40" i="1" s="1"/>
  <c r="P14" i="1"/>
  <c r="P18" i="1" s="1"/>
  <c r="P21" i="1"/>
  <c r="P19" i="1"/>
  <c r="P16" i="1"/>
  <c r="P182" i="1"/>
  <c r="P180" i="1"/>
  <c r="P177" i="1"/>
  <c r="P175" i="1"/>
  <c r="P179" i="1" s="1"/>
  <c r="O183" i="1"/>
  <c r="O185" i="1" s="1"/>
  <c r="O181" i="1"/>
  <c r="P54" i="1"/>
  <c r="P52" i="1"/>
  <c r="P49" i="1"/>
  <c r="P51" i="1" s="1"/>
  <c r="P47" i="1"/>
  <c r="O66" i="1"/>
  <c r="O69" i="1" s="1"/>
  <c r="O64" i="1"/>
  <c r="P63" i="1"/>
  <c r="P60" i="1"/>
  <c r="P65" i="1"/>
  <c r="P58" i="1"/>
  <c r="P62" i="1"/>
  <c r="P110" i="1"/>
  <c r="P117" i="1"/>
  <c r="P115" i="1"/>
  <c r="P112" i="1"/>
  <c r="P114" i="1" s="1"/>
  <c r="P105" i="1"/>
  <c r="P108" i="1" s="1"/>
  <c r="P103" i="1"/>
  <c r="P23" i="1" l="1"/>
  <c r="P20" i="1"/>
  <c r="P183" i="1"/>
  <c r="P185" i="1" s="1"/>
  <c r="P181" i="1"/>
  <c r="P45" i="1"/>
  <c r="P42" i="1"/>
  <c r="P56" i="1"/>
  <c r="P53" i="1"/>
  <c r="P116" i="1"/>
  <c r="P118" i="1"/>
  <c r="P121" i="1" s="1"/>
  <c r="P66" i="1"/>
  <c r="P69" i="1" s="1"/>
  <c r="P64" i="1"/>
  <c r="P12" i="1"/>
  <c r="P9" i="1"/>
</calcChain>
</file>

<file path=xl/sharedStrings.xml><?xml version="1.0" encoding="utf-8"?>
<sst xmlns="http://schemas.openxmlformats.org/spreadsheetml/2006/main" count="260" uniqueCount="60">
  <si>
    <t>S.L</t>
  </si>
  <si>
    <t>Position</t>
  </si>
  <si>
    <t>Allowance</t>
  </si>
  <si>
    <t>Rate</t>
  </si>
  <si>
    <t>Grade</t>
  </si>
  <si>
    <t>Step-1</t>
  </si>
  <si>
    <t>Step-2</t>
  </si>
  <si>
    <t>Step-3</t>
  </si>
  <si>
    <t>Step-4</t>
  </si>
  <si>
    <t>Step-5</t>
  </si>
  <si>
    <t>Step-6</t>
  </si>
  <si>
    <t>Step-7</t>
  </si>
  <si>
    <t>Step-8</t>
  </si>
  <si>
    <t>Step-9</t>
  </si>
  <si>
    <t>Step-10</t>
  </si>
  <si>
    <t>Executive Director</t>
  </si>
  <si>
    <t>Basic</t>
  </si>
  <si>
    <t>i</t>
  </si>
  <si>
    <t>HR</t>
  </si>
  <si>
    <t>MA</t>
  </si>
  <si>
    <t>Fixed</t>
  </si>
  <si>
    <t>Con</t>
  </si>
  <si>
    <t>Entertainment</t>
  </si>
  <si>
    <t>Gross Salary</t>
  </si>
  <si>
    <t>PF &amp; SWF Deduction</t>
  </si>
  <si>
    <t>Net Salary</t>
  </si>
  <si>
    <t>PF Contribution (Organization)</t>
  </si>
  <si>
    <t>Lunch bill</t>
  </si>
  <si>
    <t>Grand total</t>
  </si>
  <si>
    <t>Deputy Executive Director</t>
  </si>
  <si>
    <t>ii</t>
  </si>
  <si>
    <t>Director 
(MF/HR,Admin &amp; Training/Finance &amp; Accounts/Audit &amp; Monitoring/Program)</t>
  </si>
  <si>
    <t>iii</t>
  </si>
  <si>
    <t>Deputy Director (MF/HR,Admin &amp; Training/Finance &amp; Accounts/Audit &amp; Monitoring/Program)</t>
  </si>
  <si>
    <t>iv</t>
  </si>
  <si>
    <t>Assistant Director
(MF/HR,Admin &amp; Training/Finance &amp; Accounts/Audit &amp; Monitoring/Program)</t>
  </si>
  <si>
    <t>v</t>
  </si>
  <si>
    <r>
      <t xml:space="preserve">Deputy Assistant Director (MF/HR,Admin &amp; Training/Finance &amp; Accounts/Audit &amp; Monitoring/Program)
</t>
    </r>
    <r>
      <rPr>
        <b/>
        <sz val="10"/>
        <color theme="1"/>
        <rFont val="Calibri"/>
        <family val="2"/>
        <scheme val="minor"/>
      </rPr>
      <t>Zonal Manager</t>
    </r>
  </si>
  <si>
    <t>vi</t>
  </si>
  <si>
    <t>Gross Salary (Without Fuel &amp; Lunch bill)</t>
  </si>
  <si>
    <t>Fuel bill</t>
  </si>
  <si>
    <t>Regional Manager-I</t>
  </si>
  <si>
    <t>vii</t>
  </si>
  <si>
    <t>Regional Manager-ii</t>
  </si>
  <si>
    <t>viii</t>
  </si>
  <si>
    <r>
      <t xml:space="preserve">Senior Manager (Audit/Accounts/HR/Admin/ Training/Monitoring)/
</t>
    </r>
    <r>
      <rPr>
        <b/>
        <sz val="10"/>
        <color theme="1"/>
        <rFont val="Calibri"/>
        <family val="2"/>
        <scheme val="minor"/>
      </rPr>
      <t>Branch Manager-I</t>
    </r>
  </si>
  <si>
    <t>ix</t>
  </si>
  <si>
    <r>
      <rPr>
        <sz val="10"/>
        <color theme="1"/>
        <rFont val="Calibri"/>
        <family val="2"/>
        <scheme val="minor"/>
      </rPr>
      <t xml:space="preserve">Manager 
(HR/Admin/Training/Audit/ Accounts/Monitoring)/
</t>
    </r>
    <r>
      <rPr>
        <b/>
        <sz val="10"/>
        <color theme="1"/>
        <rFont val="Calibri"/>
        <family val="2"/>
        <scheme val="minor"/>
      </rPr>
      <t>Branch Manager-ii</t>
    </r>
  </si>
  <si>
    <t>x</t>
  </si>
  <si>
    <r>
      <t>Assistant Manager  (Audit/HR/Admin/Training/ Accounts/Monitoring)/</t>
    </r>
    <r>
      <rPr>
        <b/>
        <sz val="10"/>
        <color theme="1"/>
        <rFont val="Calibri"/>
        <family val="2"/>
        <scheme val="minor"/>
      </rPr>
      <t xml:space="preserve"> 
Branch Manager-iii</t>
    </r>
  </si>
  <si>
    <t>xi</t>
  </si>
  <si>
    <t>Assistant Branch Manager/
Officer-I/Accountant-I</t>
  </si>
  <si>
    <t>xii</t>
  </si>
  <si>
    <t>Officer-ii/Accountant-ii</t>
  </si>
  <si>
    <t>xiii</t>
  </si>
  <si>
    <t>Officer-iii/
Accountant-iii</t>
  </si>
  <si>
    <t>xiv</t>
  </si>
  <si>
    <t>Desk Officer/Computer Operator/Office Assistant/ Driver</t>
  </si>
  <si>
    <t>xv</t>
  </si>
  <si>
    <t>Step-0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</si>
</sst>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5" fontId="2" fillId="3" borderId="5" xfId="1" applyNumberFormat="1" applyFont="1" applyFill="1" applyBorder="1" applyAlignment="1">
      <alignment horizontal="center" vertical="center" wrapText="1"/>
    </xf>
    <xf numFmtId="165" fontId="2" fillId="3" borderId="6" xfId="1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right" vertical="center"/>
    </xf>
    <xf numFmtId="165" fontId="2" fillId="4" borderId="5" xfId="1" applyNumberFormat="1" applyFont="1" applyFill="1" applyBorder="1" applyAlignment="1">
      <alignment horizontal="center" vertical="center" wrapText="1"/>
    </xf>
    <xf numFmtId="165" fontId="2" fillId="4" borderId="6" xfId="1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right" vertical="center"/>
    </xf>
    <xf numFmtId="165" fontId="2" fillId="5" borderId="5" xfId="1" applyNumberFormat="1" applyFont="1" applyFill="1" applyBorder="1" applyAlignment="1">
      <alignment horizontal="center" vertical="center" wrapText="1"/>
    </xf>
    <xf numFmtId="165" fontId="2" fillId="5" borderId="6" xfId="1" applyNumberFormat="1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right" vertical="center"/>
    </xf>
    <xf numFmtId="165" fontId="2" fillId="6" borderId="5" xfId="1" applyNumberFormat="1" applyFont="1" applyFill="1" applyBorder="1" applyAlignment="1">
      <alignment horizontal="center" vertical="center" wrapText="1"/>
    </xf>
    <xf numFmtId="165" fontId="2" fillId="6" borderId="6" xfId="1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right" vertical="center"/>
    </xf>
    <xf numFmtId="165" fontId="2" fillId="7" borderId="5" xfId="1" applyNumberFormat="1" applyFont="1" applyFill="1" applyBorder="1" applyAlignment="1">
      <alignment horizontal="center" vertical="center" wrapText="1"/>
    </xf>
    <xf numFmtId="165" fontId="2" fillId="7" borderId="6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65" fontId="2" fillId="8" borderId="5" xfId="1" applyNumberFormat="1" applyFont="1" applyFill="1" applyBorder="1" applyAlignment="1">
      <alignment horizontal="center" vertical="center" wrapText="1"/>
    </xf>
    <xf numFmtId="165" fontId="2" fillId="8" borderId="6" xfId="1" applyNumberFormat="1" applyFont="1" applyFill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2" fillId="3" borderId="5" xfId="1" applyNumberFormat="1" applyFont="1" applyFill="1" applyBorder="1" applyAlignment="1">
      <alignment horizontal="center" vertical="center"/>
    </xf>
    <xf numFmtId="165" fontId="2" fillId="3" borderId="6" xfId="1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165" fontId="2" fillId="9" borderId="5" xfId="1" applyNumberFormat="1" applyFont="1" applyFill="1" applyBorder="1" applyAlignment="1">
      <alignment horizontal="center" vertical="center" wrapText="1"/>
    </xf>
    <xf numFmtId="165" fontId="2" fillId="9" borderId="6" xfId="1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5A54-AF38-4683-94ED-5381BA30461F}">
  <dimension ref="A1:P185"/>
  <sheetViews>
    <sheetView tabSelected="1" workbookViewId="0">
      <selection activeCell="X13" sqref="X13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59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5" t="s">
        <v>14</v>
      </c>
    </row>
    <row r="2" spans="1:16" x14ac:dyDescent="0.25">
      <c r="A2" s="6">
        <v>1</v>
      </c>
      <c r="B2" s="7" t="s">
        <v>15</v>
      </c>
      <c r="C2" s="8" t="s">
        <v>16</v>
      </c>
      <c r="D2" s="9">
        <v>7.0000000000000007E-2</v>
      </c>
      <c r="E2" s="10" t="s">
        <v>17</v>
      </c>
      <c r="F2" s="11">
        <v>76000</v>
      </c>
      <c r="G2" s="11">
        <f>F2*7%+F2</f>
        <v>81320</v>
      </c>
      <c r="H2" s="11">
        <f t="shared" ref="H2:P2" si="0">G2*7%+G2</f>
        <v>87012.4</v>
      </c>
      <c r="I2" s="11">
        <f t="shared" si="0"/>
        <v>93103.267999999996</v>
      </c>
      <c r="J2" s="11">
        <f t="shared" si="0"/>
        <v>99620.496759999995</v>
      </c>
      <c r="K2" s="11">
        <f t="shared" si="0"/>
        <v>106593.9315332</v>
      </c>
      <c r="L2" s="11">
        <f t="shared" si="0"/>
        <v>114055.506740524</v>
      </c>
      <c r="M2" s="11">
        <f t="shared" si="0"/>
        <v>122039.39221236068</v>
      </c>
      <c r="N2" s="11">
        <f t="shared" si="0"/>
        <v>130582.14966722592</v>
      </c>
      <c r="O2" s="11">
        <f t="shared" si="0"/>
        <v>139722.90014393174</v>
      </c>
      <c r="P2" s="12">
        <f t="shared" si="0"/>
        <v>149503.50315400696</v>
      </c>
    </row>
    <row r="3" spans="1:16" x14ac:dyDescent="0.25">
      <c r="A3" s="6"/>
      <c r="B3" s="10"/>
      <c r="C3" s="8" t="s">
        <v>18</v>
      </c>
      <c r="D3" s="9">
        <v>0.7</v>
      </c>
      <c r="E3" s="10"/>
      <c r="F3" s="11">
        <f>F2*70%</f>
        <v>53200</v>
      </c>
      <c r="G3" s="11">
        <f t="shared" ref="G3:P3" si="1">G2*70%</f>
        <v>56924</v>
      </c>
      <c r="H3" s="11">
        <f t="shared" si="1"/>
        <v>60908.679999999993</v>
      </c>
      <c r="I3" s="11">
        <f t="shared" si="1"/>
        <v>65172.287599999996</v>
      </c>
      <c r="J3" s="11">
        <f t="shared" si="1"/>
        <v>69734.347731999995</v>
      </c>
      <c r="K3" s="11">
        <f t="shared" si="1"/>
        <v>74615.752073239986</v>
      </c>
      <c r="L3" s="11">
        <f t="shared" si="1"/>
        <v>79838.854718366798</v>
      </c>
      <c r="M3" s="11">
        <f t="shared" si="1"/>
        <v>85427.574548652468</v>
      </c>
      <c r="N3" s="11">
        <f t="shared" si="1"/>
        <v>91407.504767058141</v>
      </c>
      <c r="O3" s="11">
        <f t="shared" si="1"/>
        <v>97806.030100752207</v>
      </c>
      <c r="P3" s="12">
        <f t="shared" si="1"/>
        <v>104652.45220780486</v>
      </c>
    </row>
    <row r="4" spans="1:16" x14ac:dyDescent="0.25">
      <c r="A4" s="6"/>
      <c r="B4" s="10"/>
      <c r="C4" s="8" t="s">
        <v>19</v>
      </c>
      <c r="D4" s="8" t="s">
        <v>20</v>
      </c>
      <c r="E4" s="10"/>
      <c r="F4" s="11">
        <v>3000</v>
      </c>
      <c r="G4" s="11">
        <f>F4</f>
        <v>3000</v>
      </c>
      <c r="H4" s="11">
        <f t="shared" ref="H4:P4" si="2">G4</f>
        <v>3000</v>
      </c>
      <c r="I4" s="11">
        <f t="shared" si="2"/>
        <v>3000</v>
      </c>
      <c r="J4" s="11">
        <f t="shared" si="2"/>
        <v>3000</v>
      </c>
      <c r="K4" s="11">
        <f t="shared" si="2"/>
        <v>3000</v>
      </c>
      <c r="L4" s="11">
        <f t="shared" si="2"/>
        <v>3000</v>
      </c>
      <c r="M4" s="11">
        <f t="shared" si="2"/>
        <v>3000</v>
      </c>
      <c r="N4" s="11">
        <f t="shared" si="2"/>
        <v>3000</v>
      </c>
      <c r="O4" s="11">
        <f t="shared" si="2"/>
        <v>3000</v>
      </c>
      <c r="P4" s="12">
        <f t="shared" si="2"/>
        <v>3000</v>
      </c>
    </row>
    <row r="5" spans="1:16" x14ac:dyDescent="0.25">
      <c r="A5" s="6"/>
      <c r="B5" s="10"/>
      <c r="C5" s="8" t="s">
        <v>21</v>
      </c>
      <c r="D5" s="9">
        <v>0.35</v>
      </c>
      <c r="E5" s="10"/>
      <c r="F5" s="11">
        <f>F2*35%</f>
        <v>26600</v>
      </c>
      <c r="G5" s="11">
        <f t="shared" ref="G5:P5" si="3">G2*35%</f>
        <v>28462</v>
      </c>
      <c r="H5" s="11">
        <f t="shared" si="3"/>
        <v>30454.339999999997</v>
      </c>
      <c r="I5" s="11">
        <f t="shared" si="3"/>
        <v>32586.143799999998</v>
      </c>
      <c r="J5" s="11">
        <f t="shared" si="3"/>
        <v>34867.173865999997</v>
      </c>
      <c r="K5" s="11">
        <f t="shared" si="3"/>
        <v>37307.876036619993</v>
      </c>
      <c r="L5" s="11">
        <f t="shared" si="3"/>
        <v>39919.427359183399</v>
      </c>
      <c r="M5" s="11">
        <f t="shared" si="3"/>
        <v>42713.787274326234</v>
      </c>
      <c r="N5" s="11">
        <f t="shared" si="3"/>
        <v>45703.75238352907</v>
      </c>
      <c r="O5" s="11">
        <f t="shared" si="3"/>
        <v>48903.015050376103</v>
      </c>
      <c r="P5" s="12">
        <f t="shared" si="3"/>
        <v>52326.226103902431</v>
      </c>
    </row>
    <row r="6" spans="1:16" x14ac:dyDescent="0.25">
      <c r="A6" s="6"/>
      <c r="B6" s="10"/>
      <c r="C6" s="8" t="s">
        <v>22</v>
      </c>
      <c r="D6" s="8" t="s">
        <v>20</v>
      </c>
      <c r="E6" s="10"/>
      <c r="F6" s="11">
        <v>4000</v>
      </c>
      <c r="G6" s="11">
        <f>F6</f>
        <v>4000</v>
      </c>
      <c r="H6" s="11">
        <f t="shared" ref="H6:P6" si="4">G6</f>
        <v>4000</v>
      </c>
      <c r="I6" s="11">
        <f t="shared" si="4"/>
        <v>4000</v>
      </c>
      <c r="J6" s="11">
        <f t="shared" si="4"/>
        <v>4000</v>
      </c>
      <c r="K6" s="11">
        <f t="shared" si="4"/>
        <v>4000</v>
      </c>
      <c r="L6" s="11">
        <f t="shared" si="4"/>
        <v>4000</v>
      </c>
      <c r="M6" s="11">
        <f t="shared" si="4"/>
        <v>4000</v>
      </c>
      <c r="N6" s="11">
        <f t="shared" si="4"/>
        <v>4000</v>
      </c>
      <c r="O6" s="11">
        <f t="shared" si="4"/>
        <v>4000</v>
      </c>
      <c r="P6" s="12">
        <f t="shared" si="4"/>
        <v>4000</v>
      </c>
    </row>
    <row r="7" spans="1:16" x14ac:dyDescent="0.25">
      <c r="A7" s="6"/>
      <c r="B7" s="13" t="s">
        <v>23</v>
      </c>
      <c r="C7" s="13"/>
      <c r="D7" s="13"/>
      <c r="E7" s="13"/>
      <c r="F7" s="14">
        <f>SUM(F2:F6)</f>
        <v>162800</v>
      </c>
      <c r="G7" s="14">
        <f t="shared" ref="G7:P7" si="5">SUM(G2:G6)</f>
        <v>173706</v>
      </c>
      <c r="H7" s="14">
        <f t="shared" si="5"/>
        <v>185375.41999999998</v>
      </c>
      <c r="I7" s="14">
        <f t="shared" si="5"/>
        <v>197861.69939999998</v>
      </c>
      <c r="J7" s="14">
        <f t="shared" si="5"/>
        <v>211222.018358</v>
      </c>
      <c r="K7" s="14">
        <f t="shared" si="5"/>
        <v>225517.55964305997</v>
      </c>
      <c r="L7" s="14">
        <f t="shared" si="5"/>
        <v>240813.78881807419</v>
      </c>
      <c r="M7" s="14">
        <f t="shared" si="5"/>
        <v>257180.75403533937</v>
      </c>
      <c r="N7" s="14">
        <f t="shared" si="5"/>
        <v>274693.40681781317</v>
      </c>
      <c r="O7" s="14">
        <f t="shared" si="5"/>
        <v>293431.94529506005</v>
      </c>
      <c r="P7" s="15">
        <f t="shared" si="5"/>
        <v>313482.18146571424</v>
      </c>
    </row>
    <row r="8" spans="1:16" x14ac:dyDescent="0.25">
      <c r="A8" s="6"/>
      <c r="B8" s="16" t="s">
        <v>24</v>
      </c>
      <c r="C8" s="16"/>
      <c r="D8" s="16"/>
      <c r="E8" s="16"/>
      <c r="F8" s="17">
        <f>F2*10%+100</f>
        <v>7700</v>
      </c>
      <c r="G8" s="17">
        <f t="shared" ref="G8:P8" si="6">G2*10%+100</f>
        <v>8232</v>
      </c>
      <c r="H8" s="17">
        <f t="shared" si="6"/>
        <v>8801.24</v>
      </c>
      <c r="I8" s="17">
        <f t="shared" si="6"/>
        <v>9410.3268000000007</v>
      </c>
      <c r="J8" s="17">
        <f t="shared" si="6"/>
        <v>10062.049676000001</v>
      </c>
      <c r="K8" s="17">
        <f t="shared" si="6"/>
        <v>10759.393153320001</v>
      </c>
      <c r="L8" s="17">
        <f t="shared" si="6"/>
        <v>11505.5506740524</v>
      </c>
      <c r="M8" s="17">
        <f t="shared" si="6"/>
        <v>12303.939221236069</v>
      </c>
      <c r="N8" s="17">
        <f t="shared" si="6"/>
        <v>13158.214966722593</v>
      </c>
      <c r="O8" s="17">
        <f t="shared" si="6"/>
        <v>14072.290014393175</v>
      </c>
      <c r="P8" s="18">
        <f t="shared" si="6"/>
        <v>15050.350315400698</v>
      </c>
    </row>
    <row r="9" spans="1:16" x14ac:dyDescent="0.25">
      <c r="A9" s="6"/>
      <c r="B9" s="19" t="s">
        <v>25</v>
      </c>
      <c r="C9" s="19"/>
      <c r="D9" s="19"/>
      <c r="E9" s="19"/>
      <c r="F9" s="20">
        <f>F7-F8</f>
        <v>155100</v>
      </c>
      <c r="G9" s="20">
        <f>G7-G8</f>
        <v>165474</v>
      </c>
      <c r="H9" s="20">
        <f t="shared" ref="H9:P9" si="7">H7-H8</f>
        <v>176574.18</v>
      </c>
      <c r="I9" s="20">
        <f t="shared" si="7"/>
        <v>188451.37259999997</v>
      </c>
      <c r="J9" s="20">
        <f t="shared" si="7"/>
        <v>201159.96868200001</v>
      </c>
      <c r="K9" s="20">
        <f t="shared" si="7"/>
        <v>214758.16648973996</v>
      </c>
      <c r="L9" s="20">
        <f t="shared" si="7"/>
        <v>229308.23814402177</v>
      </c>
      <c r="M9" s="20">
        <f t="shared" si="7"/>
        <v>244876.8148141033</v>
      </c>
      <c r="N9" s="20">
        <f t="shared" si="7"/>
        <v>261535.19185109058</v>
      </c>
      <c r="O9" s="20">
        <f t="shared" si="7"/>
        <v>279359.65528066689</v>
      </c>
      <c r="P9" s="21">
        <f t="shared" si="7"/>
        <v>298431.83115031355</v>
      </c>
    </row>
    <row r="10" spans="1:16" x14ac:dyDescent="0.25">
      <c r="A10" s="6"/>
      <c r="B10" s="22" t="s">
        <v>26</v>
      </c>
      <c r="C10" s="22"/>
      <c r="D10" s="22"/>
      <c r="E10" s="22"/>
      <c r="F10" s="23">
        <f>F2*10%</f>
        <v>7600</v>
      </c>
      <c r="G10" s="23">
        <f t="shared" ref="G10:P10" si="8">G2*10%</f>
        <v>8132</v>
      </c>
      <c r="H10" s="23">
        <f t="shared" si="8"/>
        <v>8701.24</v>
      </c>
      <c r="I10" s="23">
        <f t="shared" si="8"/>
        <v>9310.3268000000007</v>
      </c>
      <c r="J10" s="23">
        <f t="shared" si="8"/>
        <v>9962.0496760000005</v>
      </c>
      <c r="K10" s="23">
        <f t="shared" si="8"/>
        <v>10659.393153320001</v>
      </c>
      <c r="L10" s="23">
        <f t="shared" si="8"/>
        <v>11405.5506740524</v>
      </c>
      <c r="M10" s="23">
        <f t="shared" si="8"/>
        <v>12203.939221236069</v>
      </c>
      <c r="N10" s="23">
        <f t="shared" si="8"/>
        <v>13058.214966722593</v>
      </c>
      <c r="O10" s="23">
        <f t="shared" si="8"/>
        <v>13972.290014393175</v>
      </c>
      <c r="P10" s="24">
        <f t="shared" si="8"/>
        <v>14950.350315400698</v>
      </c>
    </row>
    <row r="11" spans="1:16" x14ac:dyDescent="0.25">
      <c r="A11" s="6"/>
      <c r="B11" s="25" t="s">
        <v>27</v>
      </c>
      <c r="C11" s="25"/>
      <c r="D11" s="25"/>
      <c r="E11" s="25"/>
      <c r="F11" s="26">
        <f>60*26</f>
        <v>1560</v>
      </c>
      <c r="G11" s="26">
        <f t="shared" ref="G11:P11" si="9">60*26</f>
        <v>1560</v>
      </c>
      <c r="H11" s="26">
        <f t="shared" si="9"/>
        <v>1560</v>
      </c>
      <c r="I11" s="26">
        <f t="shared" si="9"/>
        <v>1560</v>
      </c>
      <c r="J11" s="26">
        <f t="shared" si="9"/>
        <v>1560</v>
      </c>
      <c r="K11" s="26">
        <f t="shared" si="9"/>
        <v>1560</v>
      </c>
      <c r="L11" s="26">
        <f t="shared" si="9"/>
        <v>1560</v>
      </c>
      <c r="M11" s="26">
        <f t="shared" si="9"/>
        <v>1560</v>
      </c>
      <c r="N11" s="26">
        <f t="shared" si="9"/>
        <v>1560</v>
      </c>
      <c r="O11" s="26">
        <f t="shared" si="9"/>
        <v>1560</v>
      </c>
      <c r="P11" s="27">
        <f t="shared" si="9"/>
        <v>1560</v>
      </c>
    </row>
    <row r="12" spans="1:16" x14ac:dyDescent="0.25">
      <c r="A12" s="28" t="s">
        <v>28</v>
      </c>
      <c r="B12" s="29"/>
      <c r="C12" s="29"/>
      <c r="D12" s="29"/>
      <c r="E12" s="29"/>
      <c r="F12" s="30">
        <f>F7+F10+F11</f>
        <v>171960</v>
      </c>
      <c r="G12" s="30">
        <f t="shared" ref="G12:P12" si="10">G7+G10+G11</f>
        <v>183398</v>
      </c>
      <c r="H12" s="30">
        <f t="shared" si="10"/>
        <v>195636.65999999997</v>
      </c>
      <c r="I12" s="30">
        <f t="shared" si="10"/>
        <v>208732.02619999999</v>
      </c>
      <c r="J12" s="30">
        <f t="shared" si="10"/>
        <v>222744.068034</v>
      </c>
      <c r="K12" s="30">
        <f t="shared" si="10"/>
        <v>237736.95279637998</v>
      </c>
      <c r="L12" s="30">
        <f t="shared" si="10"/>
        <v>253779.3394921266</v>
      </c>
      <c r="M12" s="30">
        <f t="shared" si="10"/>
        <v>270944.69325657544</v>
      </c>
      <c r="N12" s="30">
        <f t="shared" si="10"/>
        <v>289311.62178453576</v>
      </c>
      <c r="O12" s="30">
        <f t="shared" si="10"/>
        <v>308964.23530945322</v>
      </c>
      <c r="P12" s="31">
        <f t="shared" si="10"/>
        <v>329992.53178111493</v>
      </c>
    </row>
    <row r="13" spans="1:16" x14ac:dyDescent="0.25">
      <c r="A13" s="6">
        <v>2</v>
      </c>
      <c r="B13" s="7" t="s">
        <v>29</v>
      </c>
      <c r="C13" s="8" t="s">
        <v>16</v>
      </c>
      <c r="D13" s="9">
        <v>7.0000000000000007E-2</v>
      </c>
      <c r="E13" s="10" t="s">
        <v>30</v>
      </c>
      <c r="F13" s="11">
        <v>72000</v>
      </c>
      <c r="G13" s="11">
        <f>F13*7%+F13</f>
        <v>77040</v>
      </c>
      <c r="H13" s="11">
        <f t="shared" ref="H13:P13" si="11">G13*7%+G13</f>
        <v>82432.800000000003</v>
      </c>
      <c r="I13" s="11">
        <f t="shared" si="11"/>
        <v>88203.096000000005</v>
      </c>
      <c r="J13" s="11">
        <f t="shared" si="11"/>
        <v>94377.312720000002</v>
      </c>
      <c r="K13" s="11">
        <f t="shared" si="11"/>
        <v>100983.72461040001</v>
      </c>
      <c r="L13" s="11">
        <f t="shared" si="11"/>
        <v>108052.58533312801</v>
      </c>
      <c r="M13" s="11">
        <f t="shared" si="11"/>
        <v>115616.26630644697</v>
      </c>
      <c r="N13" s="11">
        <f t="shared" si="11"/>
        <v>123709.40494789825</v>
      </c>
      <c r="O13" s="11">
        <f t="shared" si="11"/>
        <v>132369.06329425113</v>
      </c>
      <c r="P13" s="12">
        <f t="shared" si="11"/>
        <v>141634.89772484871</v>
      </c>
    </row>
    <row r="14" spans="1:16" x14ac:dyDescent="0.25">
      <c r="A14" s="6"/>
      <c r="B14" s="7"/>
      <c r="C14" s="8" t="s">
        <v>18</v>
      </c>
      <c r="D14" s="9">
        <v>0.7</v>
      </c>
      <c r="E14" s="10"/>
      <c r="F14" s="11">
        <f>F13*70%</f>
        <v>50400</v>
      </c>
      <c r="G14" s="11">
        <f>G13*70%</f>
        <v>53928</v>
      </c>
      <c r="H14" s="11">
        <f t="shared" ref="H14:P14" si="12">H13*70%</f>
        <v>57702.96</v>
      </c>
      <c r="I14" s="11">
        <f t="shared" si="12"/>
        <v>61742.167199999996</v>
      </c>
      <c r="J14" s="11">
        <f t="shared" si="12"/>
        <v>66064.118904000003</v>
      </c>
      <c r="K14" s="11">
        <f t="shared" si="12"/>
        <v>70688.607227279994</v>
      </c>
      <c r="L14" s="11">
        <f t="shared" si="12"/>
        <v>75636.809733189599</v>
      </c>
      <c r="M14" s="11">
        <f t="shared" si="12"/>
        <v>80931.386414512875</v>
      </c>
      <c r="N14" s="11">
        <f t="shared" si="12"/>
        <v>86596.583463528776</v>
      </c>
      <c r="O14" s="11">
        <f t="shared" si="12"/>
        <v>92658.344305975785</v>
      </c>
      <c r="P14" s="12">
        <f t="shared" si="12"/>
        <v>99144.428407394094</v>
      </c>
    </row>
    <row r="15" spans="1:16" x14ac:dyDescent="0.25">
      <c r="A15" s="6"/>
      <c r="B15" s="7"/>
      <c r="C15" s="8" t="s">
        <v>19</v>
      </c>
      <c r="D15" s="8" t="s">
        <v>20</v>
      </c>
      <c r="E15" s="10"/>
      <c r="F15" s="11">
        <v>3000</v>
      </c>
      <c r="G15" s="11">
        <f>F15</f>
        <v>3000</v>
      </c>
      <c r="H15" s="11">
        <f t="shared" ref="H15:P15" si="13">G15</f>
        <v>3000</v>
      </c>
      <c r="I15" s="11">
        <f t="shared" si="13"/>
        <v>3000</v>
      </c>
      <c r="J15" s="11">
        <f t="shared" si="13"/>
        <v>3000</v>
      </c>
      <c r="K15" s="11">
        <f t="shared" si="13"/>
        <v>3000</v>
      </c>
      <c r="L15" s="11">
        <f t="shared" si="13"/>
        <v>3000</v>
      </c>
      <c r="M15" s="11">
        <f t="shared" si="13"/>
        <v>3000</v>
      </c>
      <c r="N15" s="11">
        <f t="shared" si="13"/>
        <v>3000</v>
      </c>
      <c r="O15" s="11">
        <f t="shared" si="13"/>
        <v>3000</v>
      </c>
      <c r="P15" s="12">
        <f t="shared" si="13"/>
        <v>3000</v>
      </c>
    </row>
    <row r="16" spans="1:16" x14ac:dyDescent="0.25">
      <c r="A16" s="6"/>
      <c r="B16" s="7"/>
      <c r="C16" s="8" t="s">
        <v>21</v>
      </c>
      <c r="D16" s="9">
        <v>0.35</v>
      </c>
      <c r="E16" s="10"/>
      <c r="F16" s="11">
        <f>F13*35%</f>
        <v>25200</v>
      </c>
      <c r="G16" s="11">
        <f>G13*35%</f>
        <v>26964</v>
      </c>
      <c r="H16" s="11">
        <f t="shared" ref="H16:P16" si="14">H13*35%</f>
        <v>28851.48</v>
      </c>
      <c r="I16" s="11">
        <f t="shared" si="14"/>
        <v>30871.083599999998</v>
      </c>
      <c r="J16" s="11">
        <f t="shared" si="14"/>
        <v>33032.059452000001</v>
      </c>
      <c r="K16" s="11">
        <f t="shared" si="14"/>
        <v>35344.303613639997</v>
      </c>
      <c r="L16" s="11">
        <f t="shared" si="14"/>
        <v>37818.404866594799</v>
      </c>
      <c r="M16" s="11">
        <f t="shared" si="14"/>
        <v>40465.693207256438</v>
      </c>
      <c r="N16" s="11">
        <f t="shared" si="14"/>
        <v>43298.291731764388</v>
      </c>
      <c r="O16" s="11">
        <f t="shared" si="14"/>
        <v>46329.172152987892</v>
      </c>
      <c r="P16" s="12">
        <f t="shared" si="14"/>
        <v>49572.214203697047</v>
      </c>
    </row>
    <row r="17" spans="1:16" x14ac:dyDescent="0.25">
      <c r="A17" s="6"/>
      <c r="B17" s="7"/>
      <c r="C17" s="8" t="s">
        <v>22</v>
      </c>
      <c r="D17" s="8" t="s">
        <v>20</v>
      </c>
      <c r="E17" s="10"/>
      <c r="F17" s="11">
        <v>4000</v>
      </c>
      <c r="G17" s="11">
        <f>F17</f>
        <v>4000</v>
      </c>
      <c r="H17" s="11">
        <f t="shared" ref="H17:P17" si="15">G17</f>
        <v>4000</v>
      </c>
      <c r="I17" s="11">
        <f t="shared" si="15"/>
        <v>4000</v>
      </c>
      <c r="J17" s="11">
        <f t="shared" si="15"/>
        <v>4000</v>
      </c>
      <c r="K17" s="11">
        <f t="shared" si="15"/>
        <v>4000</v>
      </c>
      <c r="L17" s="11">
        <f t="shared" si="15"/>
        <v>4000</v>
      </c>
      <c r="M17" s="11">
        <f t="shared" si="15"/>
        <v>4000</v>
      </c>
      <c r="N17" s="11">
        <f t="shared" si="15"/>
        <v>4000</v>
      </c>
      <c r="O17" s="11">
        <f t="shared" si="15"/>
        <v>4000</v>
      </c>
      <c r="P17" s="12">
        <f t="shared" si="15"/>
        <v>4000</v>
      </c>
    </row>
    <row r="18" spans="1:16" x14ac:dyDescent="0.25">
      <c r="A18" s="6"/>
      <c r="B18" s="13" t="s">
        <v>23</v>
      </c>
      <c r="C18" s="13"/>
      <c r="D18" s="13"/>
      <c r="E18" s="13"/>
      <c r="F18" s="14">
        <f t="shared" ref="F18:P18" si="16">SUM(F13:F17)</f>
        <v>154600</v>
      </c>
      <c r="G18" s="14">
        <f t="shared" si="16"/>
        <v>164932</v>
      </c>
      <c r="H18" s="14">
        <f t="shared" si="16"/>
        <v>175987.24000000002</v>
      </c>
      <c r="I18" s="14">
        <f t="shared" si="16"/>
        <v>187816.3468</v>
      </c>
      <c r="J18" s="14">
        <f t="shared" si="16"/>
        <v>200473.49107600003</v>
      </c>
      <c r="K18" s="14">
        <f t="shared" si="16"/>
        <v>214016.63545132001</v>
      </c>
      <c r="L18" s="14">
        <f t="shared" si="16"/>
        <v>228507.7999329124</v>
      </c>
      <c r="M18" s="14">
        <f t="shared" si="16"/>
        <v>244013.34592821629</v>
      </c>
      <c r="N18" s="14">
        <f t="shared" si="16"/>
        <v>260604.2801431914</v>
      </c>
      <c r="O18" s="14">
        <f t="shared" si="16"/>
        <v>278356.57975321484</v>
      </c>
      <c r="P18" s="15">
        <f t="shared" si="16"/>
        <v>297351.54033593985</v>
      </c>
    </row>
    <row r="19" spans="1:16" x14ac:dyDescent="0.25">
      <c r="A19" s="6"/>
      <c r="B19" s="16" t="s">
        <v>24</v>
      </c>
      <c r="C19" s="16"/>
      <c r="D19" s="16"/>
      <c r="E19" s="16"/>
      <c r="F19" s="17">
        <f>F13*10%+100</f>
        <v>7300</v>
      </c>
      <c r="G19" s="17">
        <f t="shared" ref="G19:P19" si="17">G13*10%+100</f>
        <v>7804</v>
      </c>
      <c r="H19" s="17">
        <f t="shared" si="17"/>
        <v>8343.2800000000007</v>
      </c>
      <c r="I19" s="17">
        <f t="shared" si="17"/>
        <v>8920.3096000000005</v>
      </c>
      <c r="J19" s="17">
        <f t="shared" si="17"/>
        <v>9537.7312720000009</v>
      </c>
      <c r="K19" s="17">
        <f t="shared" si="17"/>
        <v>10198.372461040002</v>
      </c>
      <c r="L19" s="17">
        <f t="shared" si="17"/>
        <v>10905.258533312801</v>
      </c>
      <c r="M19" s="17">
        <f t="shared" si="17"/>
        <v>11661.626630644698</v>
      </c>
      <c r="N19" s="17">
        <f t="shared" si="17"/>
        <v>12470.940494789826</v>
      </c>
      <c r="O19" s="17">
        <f t="shared" si="17"/>
        <v>13336.906329425114</v>
      </c>
      <c r="P19" s="18">
        <f t="shared" si="17"/>
        <v>14263.489772484871</v>
      </c>
    </row>
    <row r="20" spans="1:16" x14ac:dyDescent="0.25">
      <c r="A20" s="6"/>
      <c r="B20" s="19" t="s">
        <v>25</v>
      </c>
      <c r="C20" s="19"/>
      <c r="D20" s="19"/>
      <c r="E20" s="19"/>
      <c r="F20" s="20">
        <f>F18-F19</f>
        <v>147300</v>
      </c>
      <c r="G20" s="20">
        <f>G18-G19</f>
        <v>157128</v>
      </c>
      <c r="H20" s="20">
        <f t="shared" ref="H20:P20" si="18">H18-H19</f>
        <v>167643.96000000002</v>
      </c>
      <c r="I20" s="20">
        <f t="shared" si="18"/>
        <v>178896.03719999999</v>
      </c>
      <c r="J20" s="20">
        <f t="shared" si="18"/>
        <v>190935.75980400003</v>
      </c>
      <c r="K20" s="20">
        <f t="shared" si="18"/>
        <v>203818.26299028</v>
      </c>
      <c r="L20" s="20">
        <f t="shared" si="18"/>
        <v>217602.54139959961</v>
      </c>
      <c r="M20" s="20">
        <f t="shared" si="18"/>
        <v>232351.7192975716</v>
      </c>
      <c r="N20" s="20">
        <f t="shared" si="18"/>
        <v>248133.33964840157</v>
      </c>
      <c r="O20" s="20">
        <f t="shared" si="18"/>
        <v>265019.67342378973</v>
      </c>
      <c r="P20" s="21">
        <f t="shared" si="18"/>
        <v>283088.05056345498</v>
      </c>
    </row>
    <row r="21" spans="1:16" x14ac:dyDescent="0.25">
      <c r="A21" s="6"/>
      <c r="B21" s="22" t="s">
        <v>26</v>
      </c>
      <c r="C21" s="22"/>
      <c r="D21" s="22"/>
      <c r="E21" s="22"/>
      <c r="F21" s="23">
        <f>F13*10%</f>
        <v>7200</v>
      </c>
      <c r="G21" s="23">
        <f t="shared" ref="G21:P21" si="19">G13*10%</f>
        <v>7704</v>
      </c>
      <c r="H21" s="23">
        <f t="shared" si="19"/>
        <v>8243.2800000000007</v>
      </c>
      <c r="I21" s="23">
        <f t="shared" si="19"/>
        <v>8820.3096000000005</v>
      </c>
      <c r="J21" s="23">
        <f t="shared" si="19"/>
        <v>9437.7312720000009</v>
      </c>
      <c r="K21" s="23">
        <f t="shared" si="19"/>
        <v>10098.372461040002</v>
      </c>
      <c r="L21" s="23">
        <f t="shared" si="19"/>
        <v>10805.258533312801</v>
      </c>
      <c r="M21" s="23">
        <f t="shared" si="19"/>
        <v>11561.626630644698</v>
      </c>
      <c r="N21" s="23">
        <f t="shared" si="19"/>
        <v>12370.940494789826</v>
      </c>
      <c r="O21" s="23">
        <f t="shared" si="19"/>
        <v>13236.906329425114</v>
      </c>
      <c r="P21" s="24">
        <f t="shared" si="19"/>
        <v>14163.489772484871</v>
      </c>
    </row>
    <row r="22" spans="1:16" x14ac:dyDescent="0.25">
      <c r="A22" s="6"/>
      <c r="B22" s="25" t="s">
        <v>27</v>
      </c>
      <c r="C22" s="25"/>
      <c r="D22" s="25"/>
      <c r="E22" s="25"/>
      <c r="F22" s="26">
        <f>60*26</f>
        <v>1560</v>
      </c>
      <c r="G22" s="26">
        <f t="shared" ref="G22:P22" si="20">60*26</f>
        <v>1560</v>
      </c>
      <c r="H22" s="26">
        <f t="shared" si="20"/>
        <v>1560</v>
      </c>
      <c r="I22" s="26">
        <f t="shared" si="20"/>
        <v>1560</v>
      </c>
      <c r="J22" s="26">
        <f t="shared" si="20"/>
        <v>1560</v>
      </c>
      <c r="K22" s="26">
        <f t="shared" si="20"/>
        <v>1560</v>
      </c>
      <c r="L22" s="26">
        <f t="shared" si="20"/>
        <v>1560</v>
      </c>
      <c r="M22" s="26">
        <f t="shared" si="20"/>
        <v>1560</v>
      </c>
      <c r="N22" s="26">
        <f t="shared" si="20"/>
        <v>1560</v>
      </c>
      <c r="O22" s="26">
        <f t="shared" si="20"/>
        <v>1560</v>
      </c>
      <c r="P22" s="27">
        <f t="shared" si="20"/>
        <v>1560</v>
      </c>
    </row>
    <row r="23" spans="1:16" x14ac:dyDescent="0.25">
      <c r="A23" s="28" t="s">
        <v>28</v>
      </c>
      <c r="B23" s="29"/>
      <c r="C23" s="29"/>
      <c r="D23" s="29"/>
      <c r="E23" s="29"/>
      <c r="F23" s="30">
        <f>F18+F21+F22</f>
        <v>163360</v>
      </c>
      <c r="G23" s="30">
        <f t="shared" ref="G23:P23" si="21">G18+G21+G22</f>
        <v>174196</v>
      </c>
      <c r="H23" s="30">
        <f t="shared" si="21"/>
        <v>185790.52000000002</v>
      </c>
      <c r="I23" s="30">
        <f t="shared" si="21"/>
        <v>198196.65640000001</v>
      </c>
      <c r="J23" s="30">
        <f t="shared" si="21"/>
        <v>211471.22234800004</v>
      </c>
      <c r="K23" s="30">
        <f t="shared" si="21"/>
        <v>225675.00791236002</v>
      </c>
      <c r="L23" s="30">
        <f t="shared" si="21"/>
        <v>240873.05846622519</v>
      </c>
      <c r="M23" s="30">
        <f t="shared" si="21"/>
        <v>257134.97255886099</v>
      </c>
      <c r="N23" s="30">
        <f t="shared" si="21"/>
        <v>274535.2206379812</v>
      </c>
      <c r="O23" s="30">
        <f t="shared" si="21"/>
        <v>293153.48608263995</v>
      </c>
      <c r="P23" s="31">
        <f t="shared" si="21"/>
        <v>313075.03010842472</v>
      </c>
    </row>
    <row r="24" spans="1:16" x14ac:dyDescent="0.25">
      <c r="A24" s="6">
        <v>3</v>
      </c>
      <c r="B24" s="7" t="s">
        <v>31</v>
      </c>
      <c r="C24" s="8" t="s">
        <v>16</v>
      </c>
      <c r="D24" s="9">
        <v>7.0000000000000007E-2</v>
      </c>
      <c r="E24" s="10" t="s">
        <v>32</v>
      </c>
      <c r="F24" s="11">
        <v>60500</v>
      </c>
      <c r="G24" s="11">
        <f>F24*7%+F24</f>
        <v>64735</v>
      </c>
      <c r="H24" s="11">
        <f t="shared" ref="H24:P24" si="22">G24*7%+G24</f>
        <v>69266.45</v>
      </c>
      <c r="I24" s="11">
        <f t="shared" si="22"/>
        <v>74115.10149999999</v>
      </c>
      <c r="J24" s="11">
        <f t="shared" si="22"/>
        <v>79303.15860499999</v>
      </c>
      <c r="K24" s="11">
        <f t="shared" si="22"/>
        <v>84854.379707349988</v>
      </c>
      <c r="L24" s="11">
        <f t="shared" si="22"/>
        <v>90794.186286864482</v>
      </c>
      <c r="M24" s="11">
        <f t="shared" si="22"/>
        <v>97149.77932694499</v>
      </c>
      <c r="N24" s="11">
        <f t="shared" si="22"/>
        <v>103950.26387983114</v>
      </c>
      <c r="O24" s="11">
        <f t="shared" si="22"/>
        <v>111226.78235141932</v>
      </c>
      <c r="P24" s="12">
        <f t="shared" si="22"/>
        <v>119012.65711601867</v>
      </c>
    </row>
    <row r="25" spans="1:16" x14ac:dyDescent="0.25">
      <c r="A25" s="6"/>
      <c r="B25" s="10"/>
      <c r="C25" s="8" t="s">
        <v>18</v>
      </c>
      <c r="D25" s="9">
        <v>0.7</v>
      </c>
      <c r="E25" s="10"/>
      <c r="F25" s="11">
        <f>F24*70%</f>
        <v>42350</v>
      </c>
      <c r="G25" s="11">
        <f t="shared" ref="G25:P25" si="23">G24*70%</f>
        <v>45314.5</v>
      </c>
      <c r="H25" s="11">
        <f t="shared" si="23"/>
        <v>48486.514999999992</v>
      </c>
      <c r="I25" s="11">
        <f t="shared" si="23"/>
        <v>51880.571049999991</v>
      </c>
      <c r="J25" s="11">
        <f t="shared" si="23"/>
        <v>55512.211023499993</v>
      </c>
      <c r="K25" s="11">
        <f t="shared" si="23"/>
        <v>59398.06579514499</v>
      </c>
      <c r="L25" s="11">
        <f t="shared" si="23"/>
        <v>63555.930400805133</v>
      </c>
      <c r="M25" s="11">
        <f t="shared" si="23"/>
        <v>68004.845528861493</v>
      </c>
      <c r="N25" s="11">
        <f t="shared" si="23"/>
        <v>72765.184715881798</v>
      </c>
      <c r="O25" s="11">
        <f t="shared" si="23"/>
        <v>77858.747645993513</v>
      </c>
      <c r="P25" s="12">
        <f t="shared" si="23"/>
        <v>83308.859981213071</v>
      </c>
    </row>
    <row r="26" spans="1:16" x14ac:dyDescent="0.25">
      <c r="A26" s="6"/>
      <c r="B26" s="10"/>
      <c r="C26" s="8" t="s">
        <v>19</v>
      </c>
      <c r="D26" s="8" t="s">
        <v>20</v>
      </c>
      <c r="E26" s="10"/>
      <c r="F26" s="11">
        <v>3000</v>
      </c>
      <c r="G26" s="11">
        <f>F26</f>
        <v>3000</v>
      </c>
      <c r="H26" s="11">
        <f t="shared" ref="H26:P26" si="24">G26</f>
        <v>3000</v>
      </c>
      <c r="I26" s="11">
        <f t="shared" si="24"/>
        <v>3000</v>
      </c>
      <c r="J26" s="11">
        <f t="shared" si="24"/>
        <v>3000</v>
      </c>
      <c r="K26" s="11">
        <f t="shared" si="24"/>
        <v>3000</v>
      </c>
      <c r="L26" s="11">
        <f t="shared" si="24"/>
        <v>3000</v>
      </c>
      <c r="M26" s="11">
        <f t="shared" si="24"/>
        <v>3000</v>
      </c>
      <c r="N26" s="11">
        <f t="shared" si="24"/>
        <v>3000</v>
      </c>
      <c r="O26" s="11">
        <f t="shared" si="24"/>
        <v>3000</v>
      </c>
      <c r="P26" s="12">
        <f t="shared" si="24"/>
        <v>3000</v>
      </c>
    </row>
    <row r="27" spans="1:16" x14ac:dyDescent="0.25">
      <c r="A27" s="6"/>
      <c r="B27" s="10"/>
      <c r="C27" s="8" t="s">
        <v>21</v>
      </c>
      <c r="D27" s="9">
        <v>0.35</v>
      </c>
      <c r="E27" s="10"/>
      <c r="F27" s="11">
        <f>F24*35%</f>
        <v>21175</v>
      </c>
      <c r="G27" s="11">
        <f t="shared" ref="G27:P27" si="25">G24*35%</f>
        <v>22657.25</v>
      </c>
      <c r="H27" s="11">
        <f t="shared" si="25"/>
        <v>24243.257499999996</v>
      </c>
      <c r="I27" s="11">
        <f t="shared" si="25"/>
        <v>25940.285524999996</v>
      </c>
      <c r="J27" s="11">
        <f t="shared" si="25"/>
        <v>27756.105511749996</v>
      </c>
      <c r="K27" s="11">
        <f t="shared" si="25"/>
        <v>29699.032897572495</v>
      </c>
      <c r="L27" s="11">
        <f t="shared" si="25"/>
        <v>31777.965200402567</v>
      </c>
      <c r="M27" s="11">
        <f t="shared" si="25"/>
        <v>34002.422764430747</v>
      </c>
      <c r="N27" s="11">
        <f t="shared" si="25"/>
        <v>36382.592357940899</v>
      </c>
      <c r="O27" s="11">
        <f t="shared" si="25"/>
        <v>38929.373822996757</v>
      </c>
      <c r="P27" s="12">
        <f t="shared" si="25"/>
        <v>41654.429990606535</v>
      </c>
    </row>
    <row r="28" spans="1:16" x14ac:dyDescent="0.25">
      <c r="A28" s="6"/>
      <c r="B28" s="10"/>
      <c r="C28" s="8" t="s">
        <v>22</v>
      </c>
      <c r="D28" s="8" t="s">
        <v>20</v>
      </c>
      <c r="E28" s="10"/>
      <c r="F28" s="11">
        <v>4000</v>
      </c>
      <c r="G28" s="11">
        <f>F28</f>
        <v>4000</v>
      </c>
      <c r="H28" s="11">
        <f t="shared" ref="H28:P28" si="26">G28</f>
        <v>4000</v>
      </c>
      <c r="I28" s="11">
        <f t="shared" si="26"/>
        <v>4000</v>
      </c>
      <c r="J28" s="11">
        <f t="shared" si="26"/>
        <v>4000</v>
      </c>
      <c r="K28" s="11">
        <f t="shared" si="26"/>
        <v>4000</v>
      </c>
      <c r="L28" s="11">
        <f t="shared" si="26"/>
        <v>4000</v>
      </c>
      <c r="M28" s="11">
        <f t="shared" si="26"/>
        <v>4000</v>
      </c>
      <c r="N28" s="11">
        <f t="shared" si="26"/>
        <v>4000</v>
      </c>
      <c r="O28" s="11">
        <f t="shared" si="26"/>
        <v>4000</v>
      </c>
      <c r="P28" s="12">
        <f t="shared" si="26"/>
        <v>4000</v>
      </c>
    </row>
    <row r="29" spans="1:16" x14ac:dyDescent="0.25">
      <c r="A29" s="6"/>
      <c r="B29" s="13" t="s">
        <v>23</v>
      </c>
      <c r="C29" s="13"/>
      <c r="D29" s="13"/>
      <c r="E29" s="13"/>
      <c r="F29" s="14">
        <f>SUM(F24:F28)</f>
        <v>131025</v>
      </c>
      <c r="G29" s="14">
        <f t="shared" ref="G29:P29" si="27">SUM(G24:G28)</f>
        <v>139706.75</v>
      </c>
      <c r="H29" s="14">
        <f t="shared" si="27"/>
        <v>148996.2225</v>
      </c>
      <c r="I29" s="14">
        <f t="shared" si="27"/>
        <v>158935.95807499997</v>
      </c>
      <c r="J29" s="14">
        <f t="shared" si="27"/>
        <v>169571.47514025</v>
      </c>
      <c r="K29" s="14">
        <f t="shared" si="27"/>
        <v>180951.47840006748</v>
      </c>
      <c r="L29" s="14">
        <f t="shared" si="27"/>
        <v>193128.08188807219</v>
      </c>
      <c r="M29" s="14">
        <f t="shared" si="27"/>
        <v>206157.04762023722</v>
      </c>
      <c r="N29" s="14">
        <f t="shared" si="27"/>
        <v>220098.04095365386</v>
      </c>
      <c r="O29" s="14">
        <f t="shared" si="27"/>
        <v>235014.90382040956</v>
      </c>
      <c r="P29" s="15">
        <f t="shared" si="27"/>
        <v>250975.94708783829</v>
      </c>
    </row>
    <row r="30" spans="1:16" x14ac:dyDescent="0.25">
      <c r="A30" s="6"/>
      <c r="B30" s="16" t="s">
        <v>24</v>
      </c>
      <c r="C30" s="16"/>
      <c r="D30" s="16"/>
      <c r="E30" s="16"/>
      <c r="F30" s="17">
        <f>F24*10%+100</f>
        <v>6150</v>
      </c>
      <c r="G30" s="17">
        <f t="shared" ref="G30:P30" si="28">G24*10%+100</f>
        <v>6573.5</v>
      </c>
      <c r="H30" s="17">
        <f t="shared" si="28"/>
        <v>7026.6450000000004</v>
      </c>
      <c r="I30" s="17">
        <f t="shared" si="28"/>
        <v>7511.5101499999992</v>
      </c>
      <c r="J30" s="17">
        <f t="shared" si="28"/>
        <v>8030.315860499999</v>
      </c>
      <c r="K30" s="17">
        <f t="shared" si="28"/>
        <v>8585.4379707349999</v>
      </c>
      <c r="L30" s="17">
        <f t="shared" si="28"/>
        <v>9179.4186286864478</v>
      </c>
      <c r="M30" s="17">
        <f t="shared" si="28"/>
        <v>9814.977932694499</v>
      </c>
      <c r="N30" s="17">
        <f t="shared" si="28"/>
        <v>10495.026387983115</v>
      </c>
      <c r="O30" s="17">
        <f t="shared" si="28"/>
        <v>11222.678235141932</v>
      </c>
      <c r="P30" s="18">
        <f t="shared" si="28"/>
        <v>12001.265711601867</v>
      </c>
    </row>
    <row r="31" spans="1:16" x14ac:dyDescent="0.25">
      <c r="A31" s="6"/>
      <c r="B31" s="19" t="s">
        <v>25</v>
      </c>
      <c r="C31" s="19"/>
      <c r="D31" s="19"/>
      <c r="E31" s="19"/>
      <c r="F31" s="20">
        <f>F29-F30</f>
        <v>124875</v>
      </c>
      <c r="G31" s="20">
        <f>G29-G30</f>
        <v>133133.25</v>
      </c>
      <c r="H31" s="20">
        <f t="shared" ref="H31:P31" si="29">H29-H30</f>
        <v>141969.57750000001</v>
      </c>
      <c r="I31" s="20">
        <f t="shared" si="29"/>
        <v>151424.44792499999</v>
      </c>
      <c r="J31" s="20">
        <f t="shared" si="29"/>
        <v>161541.15927974999</v>
      </c>
      <c r="K31" s="20">
        <f t="shared" si="29"/>
        <v>172366.0404293325</v>
      </c>
      <c r="L31" s="20">
        <f t="shared" si="29"/>
        <v>183948.66325938574</v>
      </c>
      <c r="M31" s="20">
        <f t="shared" si="29"/>
        <v>196342.06968754274</v>
      </c>
      <c r="N31" s="20">
        <f t="shared" si="29"/>
        <v>209603.01456567075</v>
      </c>
      <c r="O31" s="20">
        <f t="shared" si="29"/>
        <v>223792.22558526762</v>
      </c>
      <c r="P31" s="21">
        <f t="shared" si="29"/>
        <v>238974.68137623643</v>
      </c>
    </row>
    <row r="32" spans="1:16" x14ac:dyDescent="0.25">
      <c r="A32" s="6"/>
      <c r="B32" s="22" t="s">
        <v>26</v>
      </c>
      <c r="C32" s="22"/>
      <c r="D32" s="22"/>
      <c r="E32" s="22"/>
      <c r="F32" s="23">
        <f>F24*10%</f>
        <v>6050</v>
      </c>
      <c r="G32" s="23">
        <f t="shared" ref="G32:P32" si="30">G24*10%</f>
        <v>6473.5</v>
      </c>
      <c r="H32" s="23">
        <f t="shared" si="30"/>
        <v>6926.6450000000004</v>
      </c>
      <c r="I32" s="23">
        <f t="shared" si="30"/>
        <v>7411.5101499999992</v>
      </c>
      <c r="J32" s="23">
        <f t="shared" si="30"/>
        <v>7930.315860499999</v>
      </c>
      <c r="K32" s="23">
        <f t="shared" si="30"/>
        <v>8485.4379707349999</v>
      </c>
      <c r="L32" s="23">
        <f t="shared" si="30"/>
        <v>9079.4186286864478</v>
      </c>
      <c r="M32" s="23">
        <f t="shared" si="30"/>
        <v>9714.977932694499</v>
      </c>
      <c r="N32" s="23">
        <f t="shared" si="30"/>
        <v>10395.026387983115</v>
      </c>
      <c r="O32" s="23">
        <f t="shared" si="30"/>
        <v>11122.678235141932</v>
      </c>
      <c r="P32" s="24">
        <f t="shared" si="30"/>
        <v>11901.265711601867</v>
      </c>
    </row>
    <row r="33" spans="1:16" x14ac:dyDescent="0.25">
      <c r="A33" s="6"/>
      <c r="B33" s="25" t="s">
        <v>27</v>
      </c>
      <c r="C33" s="25"/>
      <c r="D33" s="25"/>
      <c r="E33" s="25"/>
      <c r="F33" s="26">
        <f>60*26</f>
        <v>1560</v>
      </c>
      <c r="G33" s="26">
        <f t="shared" ref="G33:P33" si="31">60*26</f>
        <v>1560</v>
      </c>
      <c r="H33" s="26">
        <f t="shared" si="31"/>
        <v>1560</v>
      </c>
      <c r="I33" s="26">
        <f t="shared" si="31"/>
        <v>1560</v>
      </c>
      <c r="J33" s="26">
        <f t="shared" si="31"/>
        <v>1560</v>
      </c>
      <c r="K33" s="26">
        <f t="shared" si="31"/>
        <v>1560</v>
      </c>
      <c r="L33" s="26">
        <f t="shared" si="31"/>
        <v>1560</v>
      </c>
      <c r="M33" s="26">
        <f t="shared" si="31"/>
        <v>1560</v>
      </c>
      <c r="N33" s="26">
        <f t="shared" si="31"/>
        <v>1560</v>
      </c>
      <c r="O33" s="26">
        <f t="shared" si="31"/>
        <v>1560</v>
      </c>
      <c r="P33" s="27">
        <f t="shared" si="31"/>
        <v>1560</v>
      </c>
    </row>
    <row r="34" spans="1:16" x14ac:dyDescent="0.25">
      <c r="A34" s="28" t="s">
        <v>28</v>
      </c>
      <c r="B34" s="29"/>
      <c r="C34" s="29"/>
      <c r="D34" s="29"/>
      <c r="E34" s="29"/>
      <c r="F34" s="30">
        <f>F29+F32+F33</f>
        <v>138635</v>
      </c>
      <c r="G34" s="30">
        <f t="shared" ref="G34:P34" si="32">G29+G32+G33</f>
        <v>147740.25</v>
      </c>
      <c r="H34" s="30">
        <f t="shared" si="32"/>
        <v>157482.86749999999</v>
      </c>
      <c r="I34" s="30">
        <f t="shared" si="32"/>
        <v>167907.46822499996</v>
      </c>
      <c r="J34" s="30">
        <f t="shared" si="32"/>
        <v>179061.79100075</v>
      </c>
      <c r="K34" s="30">
        <f t="shared" si="32"/>
        <v>190996.91637080247</v>
      </c>
      <c r="L34" s="30">
        <f t="shared" si="32"/>
        <v>203767.50051675865</v>
      </c>
      <c r="M34" s="30">
        <f t="shared" si="32"/>
        <v>217432.02555293171</v>
      </c>
      <c r="N34" s="30">
        <f t="shared" si="32"/>
        <v>232053.06734163698</v>
      </c>
      <c r="O34" s="30">
        <f t="shared" si="32"/>
        <v>247697.58205555149</v>
      </c>
      <c r="P34" s="31">
        <f t="shared" si="32"/>
        <v>264437.21279944014</v>
      </c>
    </row>
    <row r="35" spans="1:16" x14ac:dyDescent="0.25">
      <c r="A35" s="6">
        <v>4</v>
      </c>
      <c r="B35" s="7" t="s">
        <v>33</v>
      </c>
      <c r="C35" s="8" t="s">
        <v>16</v>
      </c>
      <c r="D35" s="9">
        <v>7.0000000000000007E-2</v>
      </c>
      <c r="E35" s="10" t="s">
        <v>34</v>
      </c>
      <c r="F35" s="11">
        <v>55000</v>
      </c>
      <c r="G35" s="11">
        <f>F35*7%+F35</f>
        <v>58850</v>
      </c>
      <c r="H35" s="11">
        <f t="shared" ref="H35:P35" si="33">G35*7%+G35</f>
        <v>62969.5</v>
      </c>
      <c r="I35" s="11">
        <f t="shared" si="33"/>
        <v>67377.365000000005</v>
      </c>
      <c r="J35" s="11">
        <f t="shared" si="33"/>
        <v>72093.78055000001</v>
      </c>
      <c r="K35" s="11">
        <f t="shared" si="33"/>
        <v>77140.34518850001</v>
      </c>
      <c r="L35" s="11">
        <f t="shared" si="33"/>
        <v>82540.169351695018</v>
      </c>
      <c r="M35" s="11">
        <f t="shared" si="33"/>
        <v>88317.981206313663</v>
      </c>
      <c r="N35" s="11">
        <f t="shared" si="33"/>
        <v>94500.23989075562</v>
      </c>
      <c r="O35" s="11">
        <f t="shared" si="33"/>
        <v>101115.25668310851</v>
      </c>
      <c r="P35" s="12">
        <f t="shared" si="33"/>
        <v>108193.32465092611</v>
      </c>
    </row>
    <row r="36" spans="1:16" x14ac:dyDescent="0.25">
      <c r="A36" s="6"/>
      <c r="B36" s="10"/>
      <c r="C36" s="8" t="s">
        <v>18</v>
      </c>
      <c r="D36" s="9">
        <v>0.7</v>
      </c>
      <c r="E36" s="10"/>
      <c r="F36" s="11">
        <f>F35*70%</f>
        <v>38500</v>
      </c>
      <c r="G36" s="11">
        <f t="shared" ref="G36:P36" si="34">G35*70%</f>
        <v>41195</v>
      </c>
      <c r="H36" s="11">
        <f t="shared" si="34"/>
        <v>44078.649999999994</v>
      </c>
      <c r="I36" s="11">
        <f t="shared" si="34"/>
        <v>47164.155500000001</v>
      </c>
      <c r="J36" s="11">
        <f t="shared" si="34"/>
        <v>50465.646385000007</v>
      </c>
      <c r="K36" s="11">
        <f t="shared" si="34"/>
        <v>53998.241631950004</v>
      </c>
      <c r="L36" s="11">
        <f t="shared" si="34"/>
        <v>57778.11854618651</v>
      </c>
      <c r="M36" s="11">
        <f t="shared" si="34"/>
        <v>61822.586844419558</v>
      </c>
      <c r="N36" s="11">
        <f t="shared" si="34"/>
        <v>66150.167923528934</v>
      </c>
      <c r="O36" s="11">
        <f t="shared" si="34"/>
        <v>70780.679678175948</v>
      </c>
      <c r="P36" s="12">
        <f t="shared" si="34"/>
        <v>75735.32725564827</v>
      </c>
    </row>
    <row r="37" spans="1:16" x14ac:dyDescent="0.25">
      <c r="A37" s="6"/>
      <c r="B37" s="10"/>
      <c r="C37" s="8" t="s">
        <v>19</v>
      </c>
      <c r="D37" s="8" t="s">
        <v>20</v>
      </c>
      <c r="E37" s="10"/>
      <c r="F37" s="11">
        <v>3000</v>
      </c>
      <c r="G37" s="11">
        <f>F37</f>
        <v>3000</v>
      </c>
      <c r="H37" s="11">
        <f t="shared" ref="H37:P37" si="35">G37</f>
        <v>3000</v>
      </c>
      <c r="I37" s="11">
        <f t="shared" si="35"/>
        <v>3000</v>
      </c>
      <c r="J37" s="11">
        <f t="shared" si="35"/>
        <v>3000</v>
      </c>
      <c r="K37" s="11">
        <f t="shared" si="35"/>
        <v>3000</v>
      </c>
      <c r="L37" s="11">
        <f t="shared" si="35"/>
        <v>3000</v>
      </c>
      <c r="M37" s="11">
        <f t="shared" si="35"/>
        <v>3000</v>
      </c>
      <c r="N37" s="11">
        <f t="shared" si="35"/>
        <v>3000</v>
      </c>
      <c r="O37" s="11">
        <f t="shared" si="35"/>
        <v>3000</v>
      </c>
      <c r="P37" s="12">
        <f t="shared" si="35"/>
        <v>3000</v>
      </c>
    </row>
    <row r="38" spans="1:16" x14ac:dyDescent="0.25">
      <c r="A38" s="6"/>
      <c r="B38" s="10"/>
      <c r="C38" s="8" t="s">
        <v>21</v>
      </c>
      <c r="D38" s="9">
        <v>0.35</v>
      </c>
      <c r="E38" s="10"/>
      <c r="F38" s="11">
        <f>F35*35%</f>
        <v>19250</v>
      </c>
      <c r="G38" s="11">
        <f t="shared" ref="G38:P38" si="36">G35*35%</f>
        <v>20597.5</v>
      </c>
      <c r="H38" s="11">
        <f t="shared" si="36"/>
        <v>22039.324999999997</v>
      </c>
      <c r="I38" s="11">
        <f t="shared" si="36"/>
        <v>23582.07775</v>
      </c>
      <c r="J38" s="11">
        <f t="shared" si="36"/>
        <v>25232.823192500004</v>
      </c>
      <c r="K38" s="11">
        <f t="shared" si="36"/>
        <v>26999.120815975002</v>
      </c>
      <c r="L38" s="11">
        <f t="shared" si="36"/>
        <v>28889.059273093255</v>
      </c>
      <c r="M38" s="11">
        <f t="shared" si="36"/>
        <v>30911.293422209779</v>
      </c>
      <c r="N38" s="11">
        <f t="shared" si="36"/>
        <v>33075.083961764467</v>
      </c>
      <c r="O38" s="11">
        <f t="shared" si="36"/>
        <v>35390.339839087974</v>
      </c>
      <c r="P38" s="12">
        <f t="shared" si="36"/>
        <v>37867.663627824135</v>
      </c>
    </row>
    <row r="39" spans="1:16" x14ac:dyDescent="0.25">
      <c r="A39" s="6"/>
      <c r="B39" s="10"/>
      <c r="C39" s="8" t="s">
        <v>22</v>
      </c>
      <c r="D39" s="8" t="s">
        <v>20</v>
      </c>
      <c r="E39" s="10"/>
      <c r="F39" s="11">
        <v>4000</v>
      </c>
      <c r="G39" s="11">
        <f>F39</f>
        <v>4000</v>
      </c>
      <c r="H39" s="11">
        <f t="shared" ref="H39:P39" si="37">G39</f>
        <v>4000</v>
      </c>
      <c r="I39" s="11">
        <f t="shared" si="37"/>
        <v>4000</v>
      </c>
      <c r="J39" s="11">
        <f t="shared" si="37"/>
        <v>4000</v>
      </c>
      <c r="K39" s="11">
        <f t="shared" si="37"/>
        <v>4000</v>
      </c>
      <c r="L39" s="11">
        <f t="shared" si="37"/>
        <v>4000</v>
      </c>
      <c r="M39" s="11">
        <f t="shared" si="37"/>
        <v>4000</v>
      </c>
      <c r="N39" s="11">
        <f t="shared" si="37"/>
        <v>4000</v>
      </c>
      <c r="O39" s="11">
        <f t="shared" si="37"/>
        <v>4000</v>
      </c>
      <c r="P39" s="12">
        <f t="shared" si="37"/>
        <v>4000</v>
      </c>
    </row>
    <row r="40" spans="1:16" x14ac:dyDescent="0.25">
      <c r="A40" s="6"/>
      <c r="B40" s="13" t="s">
        <v>23</v>
      </c>
      <c r="C40" s="13"/>
      <c r="D40" s="13"/>
      <c r="E40" s="13"/>
      <c r="F40" s="14">
        <f>SUM(F35:F39)</f>
        <v>119750</v>
      </c>
      <c r="G40" s="14">
        <f t="shared" ref="G40:P40" si="38">SUM(G35:G39)</f>
        <v>127642.5</v>
      </c>
      <c r="H40" s="14">
        <f t="shared" si="38"/>
        <v>136087.47499999998</v>
      </c>
      <c r="I40" s="14">
        <f t="shared" si="38"/>
        <v>145123.59825000001</v>
      </c>
      <c r="J40" s="14">
        <f t="shared" si="38"/>
        <v>154792.25012750004</v>
      </c>
      <c r="K40" s="14">
        <f t="shared" si="38"/>
        <v>165137.70763642504</v>
      </c>
      <c r="L40" s="14">
        <f t="shared" si="38"/>
        <v>176207.34717097477</v>
      </c>
      <c r="M40" s="14">
        <f t="shared" si="38"/>
        <v>188051.86147294298</v>
      </c>
      <c r="N40" s="14">
        <f t="shared" si="38"/>
        <v>200725.49177604902</v>
      </c>
      <c r="O40" s="14">
        <f t="shared" si="38"/>
        <v>214286.27620037243</v>
      </c>
      <c r="P40" s="15">
        <f t="shared" si="38"/>
        <v>228796.31553439851</v>
      </c>
    </row>
    <row r="41" spans="1:16" x14ac:dyDescent="0.25">
      <c r="A41" s="6"/>
      <c r="B41" s="16" t="s">
        <v>24</v>
      </c>
      <c r="C41" s="16"/>
      <c r="D41" s="16"/>
      <c r="E41" s="16"/>
      <c r="F41" s="17">
        <f>F35*10%+100</f>
        <v>5600</v>
      </c>
      <c r="G41" s="17">
        <f t="shared" ref="G41:P41" si="39">G35*10%+100</f>
        <v>5985</v>
      </c>
      <c r="H41" s="17">
        <f t="shared" si="39"/>
        <v>6396.9500000000007</v>
      </c>
      <c r="I41" s="17">
        <f t="shared" si="39"/>
        <v>6837.7365000000009</v>
      </c>
      <c r="J41" s="17">
        <f t="shared" si="39"/>
        <v>7309.378055000001</v>
      </c>
      <c r="K41" s="17">
        <f t="shared" si="39"/>
        <v>7814.0345188500014</v>
      </c>
      <c r="L41" s="17">
        <f t="shared" si="39"/>
        <v>8354.0169351695022</v>
      </c>
      <c r="M41" s="17">
        <f t="shared" si="39"/>
        <v>8931.7981206313671</v>
      </c>
      <c r="N41" s="17">
        <f t="shared" si="39"/>
        <v>9550.023989075562</v>
      </c>
      <c r="O41" s="17">
        <f t="shared" si="39"/>
        <v>10211.525668310853</v>
      </c>
      <c r="P41" s="18">
        <f t="shared" si="39"/>
        <v>10919.332465092612</v>
      </c>
    </row>
    <row r="42" spans="1:16" x14ac:dyDescent="0.25">
      <c r="A42" s="6"/>
      <c r="B42" s="19" t="s">
        <v>25</v>
      </c>
      <c r="C42" s="19"/>
      <c r="D42" s="19"/>
      <c r="E42" s="19"/>
      <c r="F42" s="20">
        <f>F40-F41</f>
        <v>114150</v>
      </c>
      <c r="G42" s="20">
        <f>G40-G41</f>
        <v>121657.5</v>
      </c>
      <c r="H42" s="20">
        <f t="shared" ref="H42:P42" si="40">H40-H41</f>
        <v>129690.52499999998</v>
      </c>
      <c r="I42" s="20">
        <f t="shared" si="40"/>
        <v>138285.86175000001</v>
      </c>
      <c r="J42" s="20">
        <f t="shared" si="40"/>
        <v>147482.87207250003</v>
      </c>
      <c r="K42" s="20">
        <f t="shared" si="40"/>
        <v>157323.67311757503</v>
      </c>
      <c r="L42" s="20">
        <f t="shared" si="40"/>
        <v>167853.33023580528</v>
      </c>
      <c r="M42" s="20">
        <f t="shared" si="40"/>
        <v>179120.06335231161</v>
      </c>
      <c r="N42" s="20">
        <f t="shared" si="40"/>
        <v>191175.46778697346</v>
      </c>
      <c r="O42" s="20">
        <f t="shared" si="40"/>
        <v>204074.75053206159</v>
      </c>
      <c r="P42" s="21">
        <f t="shared" si="40"/>
        <v>217876.98306930589</v>
      </c>
    </row>
    <row r="43" spans="1:16" x14ac:dyDescent="0.25">
      <c r="A43" s="6"/>
      <c r="B43" s="22" t="s">
        <v>26</v>
      </c>
      <c r="C43" s="22"/>
      <c r="D43" s="22"/>
      <c r="E43" s="22"/>
      <c r="F43" s="23">
        <f>F35*10%</f>
        <v>5500</v>
      </c>
      <c r="G43" s="23">
        <f t="shared" ref="G43:P43" si="41">G35*10%</f>
        <v>5885</v>
      </c>
      <c r="H43" s="23">
        <f t="shared" si="41"/>
        <v>6296.9500000000007</v>
      </c>
      <c r="I43" s="23">
        <f t="shared" si="41"/>
        <v>6737.7365000000009</v>
      </c>
      <c r="J43" s="23">
        <f t="shared" si="41"/>
        <v>7209.378055000001</v>
      </c>
      <c r="K43" s="23">
        <f t="shared" si="41"/>
        <v>7714.0345188500014</v>
      </c>
      <c r="L43" s="23">
        <f t="shared" si="41"/>
        <v>8254.0169351695022</v>
      </c>
      <c r="M43" s="23">
        <f t="shared" si="41"/>
        <v>8831.7981206313671</v>
      </c>
      <c r="N43" s="23">
        <f t="shared" si="41"/>
        <v>9450.023989075562</v>
      </c>
      <c r="O43" s="23">
        <f t="shared" si="41"/>
        <v>10111.525668310853</v>
      </c>
      <c r="P43" s="24">
        <f t="shared" si="41"/>
        <v>10819.332465092612</v>
      </c>
    </row>
    <row r="44" spans="1:16" x14ac:dyDescent="0.25">
      <c r="A44" s="6"/>
      <c r="B44" s="25" t="s">
        <v>27</v>
      </c>
      <c r="C44" s="25"/>
      <c r="D44" s="25"/>
      <c r="E44" s="25"/>
      <c r="F44" s="26">
        <f>60*26</f>
        <v>1560</v>
      </c>
      <c r="G44" s="26">
        <f t="shared" ref="G44:P44" si="42">60*26</f>
        <v>1560</v>
      </c>
      <c r="H44" s="26">
        <f t="shared" si="42"/>
        <v>1560</v>
      </c>
      <c r="I44" s="26">
        <f t="shared" si="42"/>
        <v>1560</v>
      </c>
      <c r="J44" s="26">
        <f t="shared" si="42"/>
        <v>1560</v>
      </c>
      <c r="K44" s="26">
        <f t="shared" si="42"/>
        <v>1560</v>
      </c>
      <c r="L44" s="26">
        <f t="shared" si="42"/>
        <v>1560</v>
      </c>
      <c r="M44" s="26">
        <f t="shared" si="42"/>
        <v>1560</v>
      </c>
      <c r="N44" s="26">
        <f t="shared" si="42"/>
        <v>1560</v>
      </c>
      <c r="O44" s="26">
        <f t="shared" si="42"/>
        <v>1560</v>
      </c>
      <c r="P44" s="27">
        <f t="shared" si="42"/>
        <v>1560</v>
      </c>
    </row>
    <row r="45" spans="1:16" x14ac:dyDescent="0.25">
      <c r="A45" s="28" t="s">
        <v>28</v>
      </c>
      <c r="B45" s="29"/>
      <c r="C45" s="29"/>
      <c r="D45" s="29"/>
      <c r="E45" s="29"/>
      <c r="F45" s="30">
        <f>F40+F43+F44</f>
        <v>126810</v>
      </c>
      <c r="G45" s="30">
        <f t="shared" ref="G45:P45" si="43">G40+G43+G44</f>
        <v>135087.5</v>
      </c>
      <c r="H45" s="30">
        <f t="shared" si="43"/>
        <v>143944.42499999999</v>
      </c>
      <c r="I45" s="30">
        <f t="shared" si="43"/>
        <v>153421.33475000001</v>
      </c>
      <c r="J45" s="30">
        <f t="shared" si="43"/>
        <v>163561.62818250005</v>
      </c>
      <c r="K45" s="30">
        <f t="shared" si="43"/>
        <v>174411.74215527505</v>
      </c>
      <c r="L45" s="30">
        <f t="shared" si="43"/>
        <v>186021.36410614426</v>
      </c>
      <c r="M45" s="30">
        <f t="shared" si="43"/>
        <v>198443.65959357435</v>
      </c>
      <c r="N45" s="30">
        <f t="shared" si="43"/>
        <v>211735.51576512458</v>
      </c>
      <c r="O45" s="30">
        <f t="shared" si="43"/>
        <v>225957.80186868328</v>
      </c>
      <c r="P45" s="31">
        <f t="shared" si="43"/>
        <v>241175.64799949114</v>
      </c>
    </row>
    <row r="46" spans="1:16" x14ac:dyDescent="0.25">
      <c r="A46" s="6">
        <v>5</v>
      </c>
      <c r="B46" s="7" t="s">
        <v>35</v>
      </c>
      <c r="C46" s="8" t="s">
        <v>16</v>
      </c>
      <c r="D46" s="9">
        <v>7.0000000000000007E-2</v>
      </c>
      <c r="E46" s="10" t="s">
        <v>36</v>
      </c>
      <c r="F46" s="11">
        <v>40000</v>
      </c>
      <c r="G46" s="11">
        <f>F46*7%+F46</f>
        <v>42800</v>
      </c>
      <c r="H46" s="11">
        <f t="shared" ref="H46:P46" si="44">G46*7%+G46</f>
        <v>45796</v>
      </c>
      <c r="I46" s="11">
        <f t="shared" si="44"/>
        <v>49001.72</v>
      </c>
      <c r="J46" s="11">
        <f t="shared" si="44"/>
        <v>52431.840400000001</v>
      </c>
      <c r="K46" s="11">
        <f t="shared" si="44"/>
        <v>56102.069228</v>
      </c>
      <c r="L46" s="11">
        <f t="shared" si="44"/>
        <v>60029.21407396</v>
      </c>
      <c r="M46" s="11">
        <f t="shared" si="44"/>
        <v>64231.259059137199</v>
      </c>
      <c r="N46" s="11">
        <f t="shared" si="44"/>
        <v>68727.447193276807</v>
      </c>
      <c r="O46" s="11">
        <f t="shared" si="44"/>
        <v>73538.368496806186</v>
      </c>
      <c r="P46" s="12">
        <f t="shared" si="44"/>
        <v>78686.054291582623</v>
      </c>
    </row>
    <row r="47" spans="1:16" x14ac:dyDescent="0.25">
      <c r="A47" s="6"/>
      <c r="B47" s="10"/>
      <c r="C47" s="8" t="s">
        <v>18</v>
      </c>
      <c r="D47" s="9">
        <v>0.7</v>
      </c>
      <c r="E47" s="10"/>
      <c r="F47" s="11">
        <f>F46*70%</f>
        <v>28000</v>
      </c>
      <c r="G47" s="11">
        <f t="shared" ref="G47:P47" si="45">G46*70%</f>
        <v>29959.999999999996</v>
      </c>
      <c r="H47" s="11">
        <f t="shared" si="45"/>
        <v>32057.199999999997</v>
      </c>
      <c r="I47" s="11">
        <f t="shared" si="45"/>
        <v>34301.203999999998</v>
      </c>
      <c r="J47" s="11">
        <f t="shared" si="45"/>
        <v>36702.288280000001</v>
      </c>
      <c r="K47" s="11">
        <f t="shared" si="45"/>
        <v>39271.448459599997</v>
      </c>
      <c r="L47" s="11">
        <f t="shared" si="45"/>
        <v>42020.449851771999</v>
      </c>
      <c r="M47" s="11">
        <f t="shared" si="45"/>
        <v>44961.881341396038</v>
      </c>
      <c r="N47" s="11">
        <f t="shared" si="45"/>
        <v>48109.21303529376</v>
      </c>
      <c r="O47" s="11">
        <f t="shared" si="45"/>
        <v>51476.857947764329</v>
      </c>
      <c r="P47" s="12">
        <f t="shared" si="45"/>
        <v>55080.238004107836</v>
      </c>
    </row>
    <row r="48" spans="1:16" x14ac:dyDescent="0.25">
      <c r="A48" s="6"/>
      <c r="B48" s="10"/>
      <c r="C48" s="8" t="s">
        <v>19</v>
      </c>
      <c r="D48" s="8" t="s">
        <v>20</v>
      </c>
      <c r="E48" s="10"/>
      <c r="F48" s="11">
        <v>3000</v>
      </c>
      <c r="G48" s="11">
        <f>F48</f>
        <v>3000</v>
      </c>
      <c r="H48" s="11">
        <f t="shared" ref="H48:P48" si="46">G48</f>
        <v>3000</v>
      </c>
      <c r="I48" s="11">
        <f t="shared" si="46"/>
        <v>3000</v>
      </c>
      <c r="J48" s="11">
        <f t="shared" si="46"/>
        <v>3000</v>
      </c>
      <c r="K48" s="11">
        <f t="shared" si="46"/>
        <v>3000</v>
      </c>
      <c r="L48" s="11">
        <f t="shared" si="46"/>
        <v>3000</v>
      </c>
      <c r="M48" s="11">
        <f t="shared" si="46"/>
        <v>3000</v>
      </c>
      <c r="N48" s="11">
        <f t="shared" si="46"/>
        <v>3000</v>
      </c>
      <c r="O48" s="11">
        <f t="shared" si="46"/>
        <v>3000</v>
      </c>
      <c r="P48" s="12">
        <f t="shared" si="46"/>
        <v>3000</v>
      </c>
    </row>
    <row r="49" spans="1:16" x14ac:dyDescent="0.25">
      <c r="A49" s="6"/>
      <c r="B49" s="10"/>
      <c r="C49" s="8" t="s">
        <v>21</v>
      </c>
      <c r="D49" s="9">
        <v>0.35</v>
      </c>
      <c r="E49" s="10"/>
      <c r="F49" s="11">
        <f>F46*35%</f>
        <v>14000</v>
      </c>
      <c r="G49" s="11">
        <f t="shared" ref="G49:P49" si="47">G46*35%</f>
        <v>14979.999999999998</v>
      </c>
      <c r="H49" s="11">
        <f t="shared" si="47"/>
        <v>16028.599999999999</v>
      </c>
      <c r="I49" s="11">
        <f t="shared" si="47"/>
        <v>17150.601999999999</v>
      </c>
      <c r="J49" s="11">
        <f t="shared" si="47"/>
        <v>18351.14414</v>
      </c>
      <c r="K49" s="11">
        <f t="shared" si="47"/>
        <v>19635.724229799998</v>
      </c>
      <c r="L49" s="11">
        <f t="shared" si="47"/>
        <v>21010.224925885999</v>
      </c>
      <c r="M49" s="11">
        <f t="shared" si="47"/>
        <v>22480.940670698019</v>
      </c>
      <c r="N49" s="11">
        <f t="shared" si="47"/>
        <v>24054.60651764688</v>
      </c>
      <c r="O49" s="11">
        <f t="shared" si="47"/>
        <v>25738.428973882164</v>
      </c>
      <c r="P49" s="12">
        <f t="shared" si="47"/>
        <v>27540.119002053918</v>
      </c>
    </row>
    <row r="50" spans="1:16" x14ac:dyDescent="0.25">
      <c r="A50" s="6"/>
      <c r="B50" s="10"/>
      <c r="C50" s="8" t="s">
        <v>22</v>
      </c>
      <c r="D50" s="8" t="s">
        <v>20</v>
      </c>
      <c r="E50" s="10"/>
      <c r="F50" s="11">
        <v>4000</v>
      </c>
      <c r="G50" s="11">
        <f>F50</f>
        <v>4000</v>
      </c>
      <c r="H50" s="11">
        <f t="shared" ref="H50:P50" si="48">G50</f>
        <v>4000</v>
      </c>
      <c r="I50" s="11">
        <f t="shared" si="48"/>
        <v>4000</v>
      </c>
      <c r="J50" s="11">
        <f t="shared" si="48"/>
        <v>4000</v>
      </c>
      <c r="K50" s="11">
        <f t="shared" si="48"/>
        <v>4000</v>
      </c>
      <c r="L50" s="11">
        <f t="shared" si="48"/>
        <v>4000</v>
      </c>
      <c r="M50" s="11">
        <f t="shared" si="48"/>
        <v>4000</v>
      </c>
      <c r="N50" s="11">
        <f t="shared" si="48"/>
        <v>4000</v>
      </c>
      <c r="O50" s="11">
        <f t="shared" si="48"/>
        <v>4000</v>
      </c>
      <c r="P50" s="12">
        <f t="shared" si="48"/>
        <v>4000</v>
      </c>
    </row>
    <row r="51" spans="1:16" x14ac:dyDescent="0.25">
      <c r="A51" s="6"/>
      <c r="B51" s="13" t="s">
        <v>23</v>
      </c>
      <c r="C51" s="13"/>
      <c r="D51" s="13"/>
      <c r="E51" s="13"/>
      <c r="F51" s="14">
        <f>SUM(F46:F50)</f>
        <v>89000</v>
      </c>
      <c r="G51" s="14">
        <f t="shared" ref="G51:P51" si="49">SUM(G46:G50)</f>
        <v>94740</v>
      </c>
      <c r="H51" s="14">
        <f t="shared" si="49"/>
        <v>100881.79999999999</v>
      </c>
      <c r="I51" s="14">
        <f t="shared" si="49"/>
        <v>107453.526</v>
      </c>
      <c r="J51" s="14">
        <f t="shared" si="49"/>
        <v>114485.27282</v>
      </c>
      <c r="K51" s="14">
        <f t="shared" si="49"/>
        <v>122009.24191739998</v>
      </c>
      <c r="L51" s="14">
        <f t="shared" si="49"/>
        <v>130059.88885161799</v>
      </c>
      <c r="M51" s="14">
        <f t="shared" si="49"/>
        <v>138674.08107123125</v>
      </c>
      <c r="N51" s="14">
        <f t="shared" si="49"/>
        <v>147891.26674621744</v>
      </c>
      <c r="O51" s="14">
        <f t="shared" si="49"/>
        <v>157753.65541845269</v>
      </c>
      <c r="P51" s="15">
        <f t="shared" si="49"/>
        <v>168306.41129774437</v>
      </c>
    </row>
    <row r="52" spans="1:16" x14ac:dyDescent="0.25">
      <c r="A52" s="6"/>
      <c r="B52" s="16" t="s">
        <v>24</v>
      </c>
      <c r="C52" s="16"/>
      <c r="D52" s="16"/>
      <c r="E52" s="16"/>
      <c r="F52" s="17">
        <f>F46*10%+100</f>
        <v>4100</v>
      </c>
      <c r="G52" s="17">
        <f t="shared" ref="G52:P52" si="50">G46*10%+100</f>
        <v>4380</v>
      </c>
      <c r="H52" s="17">
        <f t="shared" si="50"/>
        <v>4679.6000000000004</v>
      </c>
      <c r="I52" s="17">
        <f t="shared" si="50"/>
        <v>5000.1720000000005</v>
      </c>
      <c r="J52" s="17">
        <f t="shared" si="50"/>
        <v>5343.1840400000001</v>
      </c>
      <c r="K52" s="17">
        <f t="shared" si="50"/>
        <v>5710.2069228</v>
      </c>
      <c r="L52" s="17">
        <f t="shared" si="50"/>
        <v>6102.9214073960002</v>
      </c>
      <c r="M52" s="17">
        <f t="shared" si="50"/>
        <v>6523.1259059137201</v>
      </c>
      <c r="N52" s="17">
        <f t="shared" si="50"/>
        <v>6972.7447193276812</v>
      </c>
      <c r="O52" s="17">
        <f t="shared" si="50"/>
        <v>7453.8368496806188</v>
      </c>
      <c r="P52" s="18">
        <f t="shared" si="50"/>
        <v>7968.6054291582623</v>
      </c>
    </row>
    <row r="53" spans="1:16" x14ac:dyDescent="0.25">
      <c r="A53" s="6"/>
      <c r="B53" s="19" t="s">
        <v>25</v>
      </c>
      <c r="C53" s="19"/>
      <c r="D53" s="19"/>
      <c r="E53" s="19"/>
      <c r="F53" s="20">
        <f>F51-F52</f>
        <v>84900</v>
      </c>
      <c r="G53" s="20">
        <f>G51-G52</f>
        <v>90360</v>
      </c>
      <c r="H53" s="20">
        <f t="shared" ref="H53:P53" si="51">H51-H52</f>
        <v>96202.199999999983</v>
      </c>
      <c r="I53" s="20">
        <f t="shared" si="51"/>
        <v>102453.35399999999</v>
      </c>
      <c r="J53" s="20">
        <f t="shared" si="51"/>
        <v>109142.08877999999</v>
      </c>
      <c r="K53" s="20">
        <f t="shared" si="51"/>
        <v>116299.03499459998</v>
      </c>
      <c r="L53" s="20">
        <f t="shared" si="51"/>
        <v>123956.96744422198</v>
      </c>
      <c r="M53" s="20">
        <f t="shared" si="51"/>
        <v>132150.95516531754</v>
      </c>
      <c r="N53" s="20">
        <f t="shared" si="51"/>
        <v>140918.52202688975</v>
      </c>
      <c r="O53" s="20">
        <f t="shared" si="51"/>
        <v>150299.81856877208</v>
      </c>
      <c r="P53" s="21">
        <f t="shared" si="51"/>
        <v>160337.80586858612</v>
      </c>
    </row>
    <row r="54" spans="1:16" x14ac:dyDescent="0.25">
      <c r="A54" s="6"/>
      <c r="B54" s="22" t="s">
        <v>26</v>
      </c>
      <c r="C54" s="22"/>
      <c r="D54" s="22"/>
      <c r="E54" s="22"/>
      <c r="F54" s="23">
        <f>F46*10%</f>
        <v>4000</v>
      </c>
      <c r="G54" s="23">
        <f t="shared" ref="G54:P54" si="52">G46*10%</f>
        <v>4280</v>
      </c>
      <c r="H54" s="23">
        <f t="shared" si="52"/>
        <v>4579.6000000000004</v>
      </c>
      <c r="I54" s="23">
        <f t="shared" si="52"/>
        <v>4900.1720000000005</v>
      </c>
      <c r="J54" s="23">
        <f t="shared" si="52"/>
        <v>5243.1840400000001</v>
      </c>
      <c r="K54" s="23">
        <f t="shared" si="52"/>
        <v>5610.2069228</v>
      </c>
      <c r="L54" s="23">
        <f t="shared" si="52"/>
        <v>6002.9214073960002</v>
      </c>
      <c r="M54" s="23">
        <f t="shared" si="52"/>
        <v>6423.1259059137201</v>
      </c>
      <c r="N54" s="23">
        <f t="shared" si="52"/>
        <v>6872.7447193276812</v>
      </c>
      <c r="O54" s="23">
        <f t="shared" si="52"/>
        <v>7353.8368496806188</v>
      </c>
      <c r="P54" s="24">
        <f t="shared" si="52"/>
        <v>7868.6054291582623</v>
      </c>
    </row>
    <row r="55" spans="1:16" x14ac:dyDescent="0.25">
      <c r="A55" s="6"/>
      <c r="B55" s="25" t="s">
        <v>27</v>
      </c>
      <c r="C55" s="25"/>
      <c r="D55" s="25"/>
      <c r="E55" s="25"/>
      <c r="F55" s="26">
        <f>60*26</f>
        <v>1560</v>
      </c>
      <c r="G55" s="26">
        <f t="shared" ref="G55:P55" si="53">60*26</f>
        <v>1560</v>
      </c>
      <c r="H55" s="26">
        <f t="shared" si="53"/>
        <v>1560</v>
      </c>
      <c r="I55" s="26">
        <f t="shared" si="53"/>
        <v>1560</v>
      </c>
      <c r="J55" s="26">
        <f t="shared" si="53"/>
        <v>1560</v>
      </c>
      <c r="K55" s="26">
        <f t="shared" si="53"/>
        <v>1560</v>
      </c>
      <c r="L55" s="26">
        <f t="shared" si="53"/>
        <v>1560</v>
      </c>
      <c r="M55" s="26">
        <f t="shared" si="53"/>
        <v>1560</v>
      </c>
      <c r="N55" s="26">
        <f t="shared" si="53"/>
        <v>1560</v>
      </c>
      <c r="O55" s="26">
        <f t="shared" si="53"/>
        <v>1560</v>
      </c>
      <c r="P55" s="27">
        <f t="shared" si="53"/>
        <v>1560</v>
      </c>
    </row>
    <row r="56" spans="1:16" x14ac:dyDescent="0.25">
      <c r="A56" s="28" t="s">
        <v>28</v>
      </c>
      <c r="B56" s="29"/>
      <c r="C56" s="29"/>
      <c r="D56" s="29"/>
      <c r="E56" s="29"/>
      <c r="F56" s="30">
        <f>F51+F54+F55</f>
        <v>94560</v>
      </c>
      <c r="G56" s="30">
        <f t="shared" ref="G56:P56" si="54">G51+G54+G55</f>
        <v>100580</v>
      </c>
      <c r="H56" s="30">
        <f t="shared" si="54"/>
        <v>107021.4</v>
      </c>
      <c r="I56" s="30">
        <f t="shared" si="54"/>
        <v>113913.698</v>
      </c>
      <c r="J56" s="30">
        <f t="shared" si="54"/>
        <v>121288.45686000001</v>
      </c>
      <c r="K56" s="30">
        <f t="shared" si="54"/>
        <v>129179.44884019998</v>
      </c>
      <c r="L56" s="30">
        <f t="shared" si="54"/>
        <v>137622.81025901399</v>
      </c>
      <c r="M56" s="30">
        <f t="shared" si="54"/>
        <v>146657.20697714496</v>
      </c>
      <c r="N56" s="30">
        <f t="shared" si="54"/>
        <v>156324.01146554513</v>
      </c>
      <c r="O56" s="30">
        <f t="shared" si="54"/>
        <v>166667.4922681333</v>
      </c>
      <c r="P56" s="31">
        <f t="shared" si="54"/>
        <v>177735.01672690263</v>
      </c>
    </row>
    <row r="57" spans="1:16" x14ac:dyDescent="0.25">
      <c r="A57" s="6">
        <v>6</v>
      </c>
      <c r="B57" s="7" t="s">
        <v>37</v>
      </c>
      <c r="C57" s="8" t="s">
        <v>16</v>
      </c>
      <c r="D57" s="9">
        <v>7.0000000000000007E-2</v>
      </c>
      <c r="E57" s="10" t="s">
        <v>38</v>
      </c>
      <c r="F57" s="32">
        <v>31000</v>
      </c>
      <c r="G57" s="11">
        <f>F57*7%+F57</f>
        <v>33170</v>
      </c>
      <c r="H57" s="11">
        <f t="shared" ref="H57:P57" si="55">G57*7%+G57</f>
        <v>35491.9</v>
      </c>
      <c r="I57" s="11">
        <f t="shared" si="55"/>
        <v>37976.332999999999</v>
      </c>
      <c r="J57" s="11">
        <f t="shared" si="55"/>
        <v>40634.676309999995</v>
      </c>
      <c r="K57" s="11">
        <f t="shared" si="55"/>
        <v>43479.103651699996</v>
      </c>
      <c r="L57" s="11">
        <f t="shared" si="55"/>
        <v>46522.640907318993</v>
      </c>
      <c r="M57" s="11">
        <f t="shared" si="55"/>
        <v>49779.225770831326</v>
      </c>
      <c r="N57" s="11">
        <f t="shared" si="55"/>
        <v>53263.77157478952</v>
      </c>
      <c r="O57" s="11">
        <f t="shared" si="55"/>
        <v>56992.235585024784</v>
      </c>
      <c r="P57" s="12">
        <f t="shared" si="55"/>
        <v>60981.69207597652</v>
      </c>
    </row>
    <row r="58" spans="1:16" x14ac:dyDescent="0.25">
      <c r="A58" s="6"/>
      <c r="B58" s="7"/>
      <c r="C58" s="8" t="s">
        <v>18</v>
      </c>
      <c r="D58" s="9">
        <v>0.7</v>
      </c>
      <c r="E58" s="10"/>
      <c r="F58" s="32">
        <f>F57*70%</f>
        <v>21700</v>
      </c>
      <c r="G58" s="32">
        <f t="shared" ref="G58:P58" si="56">G57*70%</f>
        <v>23219</v>
      </c>
      <c r="H58" s="32">
        <f t="shared" si="56"/>
        <v>24844.329999999998</v>
      </c>
      <c r="I58" s="32">
        <f t="shared" si="56"/>
        <v>26583.433099999998</v>
      </c>
      <c r="J58" s="32">
        <f t="shared" si="56"/>
        <v>28444.273416999997</v>
      </c>
      <c r="K58" s="32">
        <f t="shared" si="56"/>
        <v>30435.372556189996</v>
      </c>
      <c r="L58" s="32">
        <f t="shared" si="56"/>
        <v>32565.848635123293</v>
      </c>
      <c r="M58" s="32">
        <f t="shared" si="56"/>
        <v>34845.458039581928</v>
      </c>
      <c r="N58" s="32">
        <f t="shared" si="56"/>
        <v>37284.640102352663</v>
      </c>
      <c r="O58" s="32">
        <f t="shared" si="56"/>
        <v>39894.564909517343</v>
      </c>
      <c r="P58" s="33">
        <f t="shared" si="56"/>
        <v>42687.18445318356</v>
      </c>
    </row>
    <row r="59" spans="1:16" x14ac:dyDescent="0.25">
      <c r="A59" s="6"/>
      <c r="B59" s="7"/>
      <c r="C59" s="8" t="s">
        <v>19</v>
      </c>
      <c r="D59" s="8" t="s">
        <v>20</v>
      </c>
      <c r="E59" s="10"/>
      <c r="F59" s="11">
        <v>3000</v>
      </c>
      <c r="G59" s="11">
        <f>F59</f>
        <v>3000</v>
      </c>
      <c r="H59" s="11">
        <f t="shared" ref="H59:P59" si="57">G59</f>
        <v>3000</v>
      </c>
      <c r="I59" s="11">
        <f t="shared" si="57"/>
        <v>3000</v>
      </c>
      <c r="J59" s="11">
        <f t="shared" si="57"/>
        <v>3000</v>
      </c>
      <c r="K59" s="11">
        <f t="shared" si="57"/>
        <v>3000</v>
      </c>
      <c r="L59" s="11">
        <f t="shared" si="57"/>
        <v>3000</v>
      </c>
      <c r="M59" s="11">
        <f t="shared" si="57"/>
        <v>3000</v>
      </c>
      <c r="N59" s="11">
        <f t="shared" si="57"/>
        <v>3000</v>
      </c>
      <c r="O59" s="11">
        <f t="shared" si="57"/>
        <v>3000</v>
      </c>
      <c r="P59" s="12">
        <f t="shared" si="57"/>
        <v>3000</v>
      </c>
    </row>
    <row r="60" spans="1:16" x14ac:dyDescent="0.25">
      <c r="A60" s="6"/>
      <c r="B60" s="7"/>
      <c r="C60" s="8" t="s">
        <v>21</v>
      </c>
      <c r="D60" s="9">
        <v>0.35</v>
      </c>
      <c r="E60" s="10"/>
      <c r="F60" s="32">
        <f>F57*35%</f>
        <v>10850</v>
      </c>
      <c r="G60" s="32">
        <f t="shared" ref="G60:P60" si="58">G57*35%</f>
        <v>11609.5</v>
      </c>
      <c r="H60" s="32">
        <f t="shared" si="58"/>
        <v>12422.164999999999</v>
      </c>
      <c r="I60" s="32">
        <f t="shared" si="58"/>
        <v>13291.716549999999</v>
      </c>
      <c r="J60" s="32">
        <f t="shared" si="58"/>
        <v>14222.136708499998</v>
      </c>
      <c r="K60" s="32">
        <f t="shared" si="58"/>
        <v>15217.686278094998</v>
      </c>
      <c r="L60" s="32">
        <f t="shared" si="58"/>
        <v>16282.924317561647</v>
      </c>
      <c r="M60" s="32">
        <f t="shared" si="58"/>
        <v>17422.729019790964</v>
      </c>
      <c r="N60" s="32">
        <f t="shared" si="58"/>
        <v>18642.320051176332</v>
      </c>
      <c r="O60" s="32">
        <f t="shared" si="58"/>
        <v>19947.282454758672</v>
      </c>
      <c r="P60" s="33">
        <f t="shared" si="58"/>
        <v>21343.59222659178</v>
      </c>
    </row>
    <row r="61" spans="1:16" x14ac:dyDescent="0.25">
      <c r="A61" s="6"/>
      <c r="B61" s="7"/>
      <c r="C61" s="8" t="s">
        <v>22</v>
      </c>
      <c r="D61" s="8" t="s">
        <v>20</v>
      </c>
      <c r="E61" s="10"/>
      <c r="F61" s="11">
        <v>4000</v>
      </c>
      <c r="G61" s="11">
        <f>F61</f>
        <v>4000</v>
      </c>
      <c r="H61" s="11">
        <f t="shared" ref="H61:P61" si="59">G61</f>
        <v>4000</v>
      </c>
      <c r="I61" s="11">
        <f t="shared" si="59"/>
        <v>4000</v>
      </c>
      <c r="J61" s="11">
        <f t="shared" si="59"/>
        <v>4000</v>
      </c>
      <c r="K61" s="11">
        <f t="shared" si="59"/>
        <v>4000</v>
      </c>
      <c r="L61" s="11">
        <f t="shared" si="59"/>
        <v>4000</v>
      </c>
      <c r="M61" s="11">
        <f t="shared" si="59"/>
        <v>4000</v>
      </c>
      <c r="N61" s="11">
        <f t="shared" si="59"/>
        <v>4000</v>
      </c>
      <c r="O61" s="11">
        <f t="shared" si="59"/>
        <v>4000</v>
      </c>
      <c r="P61" s="12">
        <f t="shared" si="59"/>
        <v>4000</v>
      </c>
    </row>
    <row r="62" spans="1:16" x14ac:dyDescent="0.25">
      <c r="A62" s="6"/>
      <c r="B62" s="13" t="s">
        <v>23</v>
      </c>
      <c r="C62" s="13"/>
      <c r="D62" s="13"/>
      <c r="E62" s="13"/>
      <c r="F62" s="34">
        <f>SUM(F57:F61)</f>
        <v>70550</v>
      </c>
      <c r="G62" s="34">
        <f t="shared" ref="G62:P62" si="60">SUM(G57:G61)</f>
        <v>74998.5</v>
      </c>
      <c r="H62" s="34">
        <f t="shared" si="60"/>
        <v>79758.39499999999</v>
      </c>
      <c r="I62" s="34">
        <f t="shared" si="60"/>
        <v>84851.482649999991</v>
      </c>
      <c r="J62" s="34">
        <f t="shared" si="60"/>
        <v>90301.086435499994</v>
      </c>
      <c r="K62" s="34">
        <f t="shared" si="60"/>
        <v>96132.162485984998</v>
      </c>
      <c r="L62" s="34">
        <f t="shared" si="60"/>
        <v>102371.41386000393</v>
      </c>
      <c r="M62" s="34">
        <f t="shared" si="60"/>
        <v>109047.41283020422</v>
      </c>
      <c r="N62" s="34">
        <f t="shared" si="60"/>
        <v>116190.73172831851</v>
      </c>
      <c r="O62" s="34">
        <f t="shared" si="60"/>
        <v>123834.08294930079</v>
      </c>
      <c r="P62" s="35">
        <f t="shared" si="60"/>
        <v>132012.46875575185</v>
      </c>
    </row>
    <row r="63" spans="1:16" x14ac:dyDescent="0.25">
      <c r="A63" s="6"/>
      <c r="B63" s="16" t="s">
        <v>24</v>
      </c>
      <c r="C63" s="16"/>
      <c r="D63" s="16"/>
      <c r="E63" s="16"/>
      <c r="F63" s="17">
        <f>F57*10%+100</f>
        <v>3200</v>
      </c>
      <c r="G63" s="17">
        <f>G57*10%+100</f>
        <v>3417</v>
      </c>
      <c r="H63" s="17">
        <f t="shared" ref="H63:P63" si="61">H57*10%+100</f>
        <v>3649.1900000000005</v>
      </c>
      <c r="I63" s="17">
        <f t="shared" si="61"/>
        <v>3897.6333</v>
      </c>
      <c r="J63" s="17">
        <f t="shared" si="61"/>
        <v>4163.4676309999995</v>
      </c>
      <c r="K63" s="17">
        <f t="shared" si="61"/>
        <v>4447.9103651699997</v>
      </c>
      <c r="L63" s="17">
        <f t="shared" si="61"/>
        <v>4752.2640907318992</v>
      </c>
      <c r="M63" s="17">
        <f t="shared" si="61"/>
        <v>5077.9225770831326</v>
      </c>
      <c r="N63" s="17">
        <f t="shared" si="61"/>
        <v>5426.3771574789525</v>
      </c>
      <c r="O63" s="17">
        <f t="shared" si="61"/>
        <v>5799.2235585024791</v>
      </c>
      <c r="P63" s="18">
        <f t="shared" si="61"/>
        <v>6198.1692075976525</v>
      </c>
    </row>
    <row r="64" spans="1:16" x14ac:dyDescent="0.25">
      <c r="A64" s="6"/>
      <c r="B64" s="19" t="s">
        <v>25</v>
      </c>
      <c r="C64" s="19"/>
      <c r="D64" s="19"/>
      <c r="E64" s="19"/>
      <c r="F64" s="20">
        <f>F62-F63</f>
        <v>67350</v>
      </c>
      <c r="G64" s="20">
        <f>G62-G63</f>
        <v>71581.5</v>
      </c>
      <c r="H64" s="20">
        <f t="shared" ref="H64:P64" si="62">H62-H63</f>
        <v>76109.204999999987</v>
      </c>
      <c r="I64" s="20">
        <f t="shared" si="62"/>
        <v>80953.849349999989</v>
      </c>
      <c r="J64" s="20">
        <f t="shared" si="62"/>
        <v>86137.618804500002</v>
      </c>
      <c r="K64" s="20">
        <f t="shared" si="62"/>
        <v>91684.252120814999</v>
      </c>
      <c r="L64" s="20">
        <f t="shared" si="62"/>
        <v>97619.14976927203</v>
      </c>
      <c r="M64" s="20">
        <f t="shared" si="62"/>
        <v>103969.4902531211</v>
      </c>
      <c r="N64" s="20">
        <f t="shared" si="62"/>
        <v>110764.35457083955</v>
      </c>
      <c r="O64" s="20">
        <f t="shared" si="62"/>
        <v>118034.85939079832</v>
      </c>
      <c r="P64" s="21">
        <f t="shared" si="62"/>
        <v>125814.2995481542</v>
      </c>
    </row>
    <row r="65" spans="1:16" x14ac:dyDescent="0.25">
      <c r="A65" s="6"/>
      <c r="B65" s="22" t="s">
        <v>26</v>
      </c>
      <c r="C65" s="22"/>
      <c r="D65" s="22"/>
      <c r="E65" s="22"/>
      <c r="F65" s="23">
        <f>F57*10%</f>
        <v>3100</v>
      </c>
      <c r="G65" s="23">
        <f t="shared" ref="G65:P65" si="63">G57*10%</f>
        <v>3317</v>
      </c>
      <c r="H65" s="23">
        <f t="shared" si="63"/>
        <v>3549.1900000000005</v>
      </c>
      <c r="I65" s="23">
        <f t="shared" si="63"/>
        <v>3797.6333</v>
      </c>
      <c r="J65" s="23">
        <f t="shared" si="63"/>
        <v>4063.4676309999995</v>
      </c>
      <c r="K65" s="23">
        <f t="shared" si="63"/>
        <v>4347.9103651699997</v>
      </c>
      <c r="L65" s="23">
        <f t="shared" si="63"/>
        <v>4652.2640907318992</v>
      </c>
      <c r="M65" s="23">
        <f t="shared" si="63"/>
        <v>4977.9225770831326</v>
      </c>
      <c r="N65" s="23">
        <f t="shared" si="63"/>
        <v>5326.3771574789525</v>
      </c>
      <c r="O65" s="23">
        <f t="shared" si="63"/>
        <v>5699.2235585024791</v>
      </c>
      <c r="P65" s="24">
        <f t="shared" si="63"/>
        <v>6098.1692075976525</v>
      </c>
    </row>
    <row r="66" spans="1:16" x14ac:dyDescent="0.25">
      <c r="A66" s="6"/>
      <c r="B66" s="36" t="s">
        <v>39</v>
      </c>
      <c r="C66" s="36"/>
      <c r="D66" s="36"/>
      <c r="E66" s="36"/>
      <c r="F66" s="37">
        <f>F62+F65</f>
        <v>73650</v>
      </c>
      <c r="G66" s="37">
        <f t="shared" ref="G66:P66" si="64">G62+G65</f>
        <v>78315.5</v>
      </c>
      <c r="H66" s="37">
        <f t="shared" si="64"/>
        <v>83307.584999999992</v>
      </c>
      <c r="I66" s="37">
        <f t="shared" si="64"/>
        <v>88649.115949999992</v>
      </c>
      <c r="J66" s="37">
        <f t="shared" si="64"/>
        <v>94364.554066499986</v>
      </c>
      <c r="K66" s="37">
        <f t="shared" si="64"/>
        <v>100480.072851155</v>
      </c>
      <c r="L66" s="37">
        <f t="shared" si="64"/>
        <v>107023.67795073583</v>
      </c>
      <c r="M66" s="37">
        <f t="shared" si="64"/>
        <v>114025.33540728735</v>
      </c>
      <c r="N66" s="37">
        <f t="shared" si="64"/>
        <v>121517.10888579747</v>
      </c>
      <c r="O66" s="37">
        <f t="shared" si="64"/>
        <v>129533.30650780327</v>
      </c>
      <c r="P66" s="38">
        <f t="shared" si="64"/>
        <v>138110.63796334949</v>
      </c>
    </row>
    <row r="67" spans="1:16" x14ac:dyDescent="0.25">
      <c r="A67" s="6"/>
      <c r="B67" s="19" t="s">
        <v>40</v>
      </c>
      <c r="C67" s="19"/>
      <c r="D67" s="19"/>
      <c r="E67" s="19"/>
      <c r="F67" s="20">
        <v>4500</v>
      </c>
      <c r="G67" s="20">
        <v>4500</v>
      </c>
      <c r="H67" s="20">
        <v>4500</v>
      </c>
      <c r="I67" s="20">
        <v>4500</v>
      </c>
      <c r="J67" s="20">
        <v>4500</v>
      </c>
      <c r="K67" s="20">
        <v>4500</v>
      </c>
      <c r="L67" s="20">
        <v>4500</v>
      </c>
      <c r="M67" s="20">
        <v>4500</v>
      </c>
      <c r="N67" s="20">
        <v>4500</v>
      </c>
      <c r="O67" s="20">
        <v>4500</v>
      </c>
      <c r="P67" s="21">
        <v>4500</v>
      </c>
    </row>
    <row r="68" spans="1:16" x14ac:dyDescent="0.25">
      <c r="A68" s="6"/>
      <c r="B68" s="25" t="s">
        <v>27</v>
      </c>
      <c r="C68" s="25"/>
      <c r="D68" s="25"/>
      <c r="E68" s="25"/>
      <c r="F68" s="26">
        <f>60*26</f>
        <v>1560</v>
      </c>
      <c r="G68" s="26">
        <f t="shared" ref="G68:P68" si="65">60*26</f>
        <v>1560</v>
      </c>
      <c r="H68" s="26">
        <f t="shared" si="65"/>
        <v>1560</v>
      </c>
      <c r="I68" s="26">
        <f t="shared" si="65"/>
        <v>1560</v>
      </c>
      <c r="J68" s="26">
        <f t="shared" si="65"/>
        <v>1560</v>
      </c>
      <c r="K68" s="26">
        <f t="shared" si="65"/>
        <v>1560</v>
      </c>
      <c r="L68" s="26">
        <f t="shared" si="65"/>
        <v>1560</v>
      </c>
      <c r="M68" s="26">
        <f t="shared" si="65"/>
        <v>1560</v>
      </c>
      <c r="N68" s="26">
        <f t="shared" si="65"/>
        <v>1560</v>
      </c>
      <c r="O68" s="26">
        <f t="shared" si="65"/>
        <v>1560</v>
      </c>
      <c r="P68" s="27">
        <f t="shared" si="65"/>
        <v>1560</v>
      </c>
    </row>
    <row r="69" spans="1:16" x14ac:dyDescent="0.25">
      <c r="A69" s="28" t="s">
        <v>28</v>
      </c>
      <c r="B69" s="29"/>
      <c r="C69" s="29"/>
      <c r="D69" s="29"/>
      <c r="E69" s="29"/>
      <c r="F69" s="30">
        <f>F66+F67+F68</f>
        <v>79710</v>
      </c>
      <c r="G69" s="30">
        <f t="shared" ref="G69:P69" si="66">G66+G67+G68</f>
        <v>84375.5</v>
      </c>
      <c r="H69" s="30">
        <f t="shared" si="66"/>
        <v>89367.584999999992</v>
      </c>
      <c r="I69" s="30">
        <f t="shared" si="66"/>
        <v>94709.115949999992</v>
      </c>
      <c r="J69" s="30">
        <f t="shared" si="66"/>
        <v>100424.55406649999</v>
      </c>
      <c r="K69" s="30">
        <f t="shared" si="66"/>
        <v>106540.072851155</v>
      </c>
      <c r="L69" s="30">
        <f t="shared" si="66"/>
        <v>113083.67795073583</v>
      </c>
      <c r="M69" s="30">
        <f t="shared" si="66"/>
        <v>120085.33540728735</v>
      </c>
      <c r="N69" s="30">
        <f t="shared" si="66"/>
        <v>127577.10888579747</v>
      </c>
      <c r="O69" s="30">
        <f t="shared" si="66"/>
        <v>135593.30650780327</v>
      </c>
      <c r="P69" s="31">
        <f t="shared" si="66"/>
        <v>144170.63796334949</v>
      </c>
    </row>
    <row r="70" spans="1:16" x14ac:dyDescent="0.25">
      <c r="A70" s="6">
        <v>7</v>
      </c>
      <c r="B70" s="7" t="s">
        <v>41</v>
      </c>
      <c r="C70" s="8" t="s">
        <v>16</v>
      </c>
      <c r="D70" s="9">
        <v>7.0000000000000007E-2</v>
      </c>
      <c r="E70" s="10" t="s">
        <v>42</v>
      </c>
      <c r="F70" s="32">
        <v>28000</v>
      </c>
      <c r="G70" s="11">
        <f>F70*7%+F70</f>
        <v>29960</v>
      </c>
      <c r="H70" s="11">
        <f t="shared" ref="H70:P70" si="67">G70*7%+G70</f>
        <v>32057.200000000001</v>
      </c>
      <c r="I70" s="11">
        <f t="shared" si="67"/>
        <v>34301.203999999998</v>
      </c>
      <c r="J70" s="11">
        <f t="shared" si="67"/>
        <v>36702.288280000001</v>
      </c>
      <c r="K70" s="11">
        <f t="shared" si="67"/>
        <v>39271.448459600004</v>
      </c>
      <c r="L70" s="11">
        <f t="shared" si="67"/>
        <v>42020.449851772006</v>
      </c>
      <c r="M70" s="11">
        <f t="shared" si="67"/>
        <v>44961.881341396045</v>
      </c>
      <c r="N70" s="11">
        <f t="shared" si="67"/>
        <v>48109.213035293767</v>
      </c>
      <c r="O70" s="11">
        <f t="shared" si="67"/>
        <v>51476.857947764329</v>
      </c>
      <c r="P70" s="12">
        <f t="shared" si="67"/>
        <v>55080.238004107829</v>
      </c>
    </row>
    <row r="71" spans="1:16" x14ac:dyDescent="0.25">
      <c r="A71" s="6"/>
      <c r="B71" s="7"/>
      <c r="C71" s="8" t="s">
        <v>18</v>
      </c>
      <c r="D71" s="9">
        <v>0.7</v>
      </c>
      <c r="E71" s="10"/>
      <c r="F71" s="32">
        <f>F70*70%</f>
        <v>19600</v>
      </c>
      <c r="G71" s="32">
        <f t="shared" ref="G71:P71" si="68">G70*70%</f>
        <v>20972</v>
      </c>
      <c r="H71" s="32">
        <f t="shared" si="68"/>
        <v>22440.04</v>
      </c>
      <c r="I71" s="32">
        <f t="shared" si="68"/>
        <v>24010.842799999999</v>
      </c>
      <c r="J71" s="32">
        <f t="shared" si="68"/>
        <v>25691.601795999999</v>
      </c>
      <c r="K71" s="32">
        <f t="shared" si="68"/>
        <v>27490.013921720001</v>
      </c>
      <c r="L71" s="32">
        <f t="shared" si="68"/>
        <v>29414.314896240401</v>
      </c>
      <c r="M71" s="32">
        <f t="shared" si="68"/>
        <v>31473.31693897723</v>
      </c>
      <c r="N71" s="32">
        <f t="shared" si="68"/>
        <v>33676.449124705636</v>
      </c>
      <c r="O71" s="32">
        <f t="shared" si="68"/>
        <v>36033.800563435027</v>
      </c>
      <c r="P71" s="33">
        <f t="shared" si="68"/>
        <v>38556.166602875477</v>
      </c>
    </row>
    <row r="72" spans="1:16" x14ac:dyDescent="0.25">
      <c r="A72" s="6"/>
      <c r="B72" s="7"/>
      <c r="C72" s="8" t="s">
        <v>19</v>
      </c>
      <c r="D72" s="8" t="s">
        <v>20</v>
      </c>
      <c r="E72" s="10"/>
      <c r="F72" s="11">
        <v>3000</v>
      </c>
      <c r="G72" s="11">
        <f>F72</f>
        <v>3000</v>
      </c>
      <c r="H72" s="11">
        <f t="shared" ref="H72:P72" si="69">G72</f>
        <v>3000</v>
      </c>
      <c r="I72" s="11">
        <f t="shared" si="69"/>
        <v>3000</v>
      </c>
      <c r="J72" s="11">
        <f t="shared" si="69"/>
        <v>3000</v>
      </c>
      <c r="K72" s="11">
        <f t="shared" si="69"/>
        <v>3000</v>
      </c>
      <c r="L72" s="11">
        <f t="shared" si="69"/>
        <v>3000</v>
      </c>
      <c r="M72" s="11">
        <f t="shared" si="69"/>
        <v>3000</v>
      </c>
      <c r="N72" s="11">
        <f t="shared" si="69"/>
        <v>3000</v>
      </c>
      <c r="O72" s="11">
        <f t="shared" si="69"/>
        <v>3000</v>
      </c>
      <c r="P72" s="12">
        <f t="shared" si="69"/>
        <v>3000</v>
      </c>
    </row>
    <row r="73" spans="1:16" x14ac:dyDescent="0.25">
      <c r="A73" s="6"/>
      <c r="B73" s="7"/>
      <c r="C73" s="8" t="s">
        <v>21</v>
      </c>
      <c r="D73" s="9">
        <v>0.35</v>
      </c>
      <c r="E73" s="10"/>
      <c r="F73" s="32">
        <f>F70*35%</f>
        <v>9800</v>
      </c>
      <c r="G73" s="32">
        <f t="shared" ref="G73:P73" si="70">G70*35%</f>
        <v>10486</v>
      </c>
      <c r="H73" s="32">
        <f t="shared" si="70"/>
        <v>11220.02</v>
      </c>
      <c r="I73" s="32">
        <f t="shared" si="70"/>
        <v>12005.421399999999</v>
      </c>
      <c r="J73" s="32">
        <f t="shared" si="70"/>
        <v>12845.800898</v>
      </c>
      <c r="K73" s="32">
        <f t="shared" si="70"/>
        <v>13745.006960860001</v>
      </c>
      <c r="L73" s="32">
        <f t="shared" si="70"/>
        <v>14707.157448120201</v>
      </c>
      <c r="M73" s="32">
        <f t="shared" si="70"/>
        <v>15736.658469488615</v>
      </c>
      <c r="N73" s="32">
        <f t="shared" si="70"/>
        <v>16838.224562352818</v>
      </c>
      <c r="O73" s="32">
        <f t="shared" si="70"/>
        <v>18016.900281717513</v>
      </c>
      <c r="P73" s="33">
        <f t="shared" si="70"/>
        <v>19278.083301437739</v>
      </c>
    </row>
    <row r="74" spans="1:16" x14ac:dyDescent="0.25">
      <c r="A74" s="6"/>
      <c r="B74" s="7"/>
      <c r="C74" s="8" t="s">
        <v>22</v>
      </c>
      <c r="D74" s="8" t="s">
        <v>20</v>
      </c>
      <c r="E74" s="10"/>
      <c r="F74" s="11">
        <v>4000</v>
      </c>
      <c r="G74" s="11">
        <f>F74</f>
        <v>4000</v>
      </c>
      <c r="H74" s="11">
        <f t="shared" ref="H74:P74" si="71">G74</f>
        <v>4000</v>
      </c>
      <c r="I74" s="11">
        <f t="shared" si="71"/>
        <v>4000</v>
      </c>
      <c r="J74" s="11">
        <f t="shared" si="71"/>
        <v>4000</v>
      </c>
      <c r="K74" s="11">
        <f t="shared" si="71"/>
        <v>4000</v>
      </c>
      <c r="L74" s="11">
        <f t="shared" si="71"/>
        <v>4000</v>
      </c>
      <c r="M74" s="11">
        <f t="shared" si="71"/>
        <v>4000</v>
      </c>
      <c r="N74" s="11">
        <f t="shared" si="71"/>
        <v>4000</v>
      </c>
      <c r="O74" s="11">
        <f t="shared" si="71"/>
        <v>4000</v>
      </c>
      <c r="P74" s="12">
        <f t="shared" si="71"/>
        <v>4000</v>
      </c>
    </row>
    <row r="75" spans="1:16" x14ac:dyDescent="0.25">
      <c r="A75" s="6"/>
      <c r="B75" s="13" t="s">
        <v>23</v>
      </c>
      <c r="C75" s="13"/>
      <c r="D75" s="13"/>
      <c r="E75" s="13"/>
      <c r="F75" s="34">
        <f>SUM(F70:F74)</f>
        <v>64400</v>
      </c>
      <c r="G75" s="34">
        <f t="shared" ref="G75:P75" si="72">SUM(G70:G74)</f>
        <v>68418</v>
      </c>
      <c r="H75" s="34">
        <f t="shared" si="72"/>
        <v>72717.260000000009</v>
      </c>
      <c r="I75" s="34">
        <f t="shared" si="72"/>
        <v>77317.468200000003</v>
      </c>
      <c r="J75" s="34">
        <f t="shared" si="72"/>
        <v>82239.690973999997</v>
      </c>
      <c r="K75" s="34">
        <f t="shared" si="72"/>
        <v>87506.469342180004</v>
      </c>
      <c r="L75" s="34">
        <f t="shared" si="72"/>
        <v>93141.922196132611</v>
      </c>
      <c r="M75" s="34">
        <f t="shared" si="72"/>
        <v>99171.85674986188</v>
      </c>
      <c r="N75" s="34">
        <f t="shared" si="72"/>
        <v>105623.88672235221</v>
      </c>
      <c r="O75" s="34">
        <f t="shared" si="72"/>
        <v>112527.55879291685</v>
      </c>
      <c r="P75" s="35">
        <f t="shared" si="72"/>
        <v>119914.48790842104</v>
      </c>
    </row>
    <row r="76" spans="1:16" x14ac:dyDescent="0.25">
      <c r="A76" s="6"/>
      <c r="B76" s="16" t="s">
        <v>24</v>
      </c>
      <c r="C76" s="16"/>
      <c r="D76" s="16"/>
      <c r="E76" s="16"/>
      <c r="F76" s="17">
        <f>F70*10%+100</f>
        <v>2900</v>
      </c>
      <c r="G76" s="17">
        <f t="shared" ref="G76:P76" si="73">G70*10%+100</f>
        <v>3096</v>
      </c>
      <c r="H76" s="17">
        <f t="shared" si="73"/>
        <v>3305.7200000000003</v>
      </c>
      <c r="I76" s="17">
        <f t="shared" si="73"/>
        <v>3530.1203999999998</v>
      </c>
      <c r="J76" s="17">
        <f t="shared" si="73"/>
        <v>3770.2288280000002</v>
      </c>
      <c r="K76" s="17">
        <f t="shared" si="73"/>
        <v>4027.1448459600006</v>
      </c>
      <c r="L76" s="17">
        <f t="shared" si="73"/>
        <v>4302.0449851772009</v>
      </c>
      <c r="M76" s="17">
        <f t="shared" si="73"/>
        <v>4596.1881341396047</v>
      </c>
      <c r="N76" s="17">
        <f t="shared" si="73"/>
        <v>4910.9213035293769</v>
      </c>
      <c r="O76" s="17">
        <f t="shared" si="73"/>
        <v>5247.6857947764329</v>
      </c>
      <c r="P76" s="18">
        <f t="shared" si="73"/>
        <v>5608.0238004107832</v>
      </c>
    </row>
    <row r="77" spans="1:16" x14ac:dyDescent="0.25">
      <c r="A77" s="6"/>
      <c r="B77" s="19" t="s">
        <v>25</v>
      </c>
      <c r="C77" s="19"/>
      <c r="D77" s="19"/>
      <c r="E77" s="19"/>
      <c r="F77" s="20">
        <f>F75-F76</f>
        <v>61500</v>
      </c>
      <c r="G77" s="20">
        <f>G75-G76</f>
        <v>65322</v>
      </c>
      <c r="H77" s="20">
        <f t="shared" ref="H77:P77" si="74">H75-H76</f>
        <v>69411.540000000008</v>
      </c>
      <c r="I77" s="20">
        <f t="shared" si="74"/>
        <v>73787.347800000003</v>
      </c>
      <c r="J77" s="20">
        <f t="shared" si="74"/>
        <v>78469.462145999991</v>
      </c>
      <c r="K77" s="20">
        <f t="shared" si="74"/>
        <v>83479.324496219997</v>
      </c>
      <c r="L77" s="20">
        <f t="shared" si="74"/>
        <v>88839.877210955412</v>
      </c>
      <c r="M77" s="20">
        <f t="shared" si="74"/>
        <v>94575.668615722272</v>
      </c>
      <c r="N77" s="20">
        <f t="shared" si="74"/>
        <v>100712.96541882283</v>
      </c>
      <c r="O77" s="20">
        <f t="shared" si="74"/>
        <v>107279.87299814042</v>
      </c>
      <c r="P77" s="21">
        <f t="shared" si="74"/>
        <v>114306.46410801026</v>
      </c>
    </row>
    <row r="78" spans="1:16" x14ac:dyDescent="0.25">
      <c r="A78" s="6"/>
      <c r="B78" s="22" t="s">
        <v>26</v>
      </c>
      <c r="C78" s="22"/>
      <c r="D78" s="22"/>
      <c r="E78" s="22"/>
      <c r="F78" s="23">
        <f>F70*10%</f>
        <v>2800</v>
      </c>
      <c r="G78" s="23">
        <f t="shared" ref="G78:P78" si="75">G70*10%</f>
        <v>2996</v>
      </c>
      <c r="H78" s="23">
        <f t="shared" si="75"/>
        <v>3205.7200000000003</v>
      </c>
      <c r="I78" s="23">
        <f t="shared" si="75"/>
        <v>3430.1203999999998</v>
      </c>
      <c r="J78" s="23">
        <f t="shared" si="75"/>
        <v>3670.2288280000002</v>
      </c>
      <c r="K78" s="23">
        <f t="shared" si="75"/>
        <v>3927.1448459600006</v>
      </c>
      <c r="L78" s="23">
        <f t="shared" si="75"/>
        <v>4202.0449851772009</v>
      </c>
      <c r="M78" s="23">
        <f t="shared" si="75"/>
        <v>4496.1881341396047</v>
      </c>
      <c r="N78" s="23">
        <f t="shared" si="75"/>
        <v>4810.9213035293769</v>
      </c>
      <c r="O78" s="23">
        <f t="shared" si="75"/>
        <v>5147.6857947764329</v>
      </c>
      <c r="P78" s="24">
        <f t="shared" si="75"/>
        <v>5508.0238004107832</v>
      </c>
    </row>
    <row r="79" spans="1:16" x14ac:dyDescent="0.25">
      <c r="A79" s="6"/>
      <c r="B79" s="36" t="s">
        <v>39</v>
      </c>
      <c r="C79" s="36"/>
      <c r="D79" s="36"/>
      <c r="E79" s="36"/>
      <c r="F79" s="37">
        <f>F75+F78</f>
        <v>67200</v>
      </c>
      <c r="G79" s="37">
        <f t="shared" ref="G79:P79" si="76">G75+G78</f>
        <v>71414</v>
      </c>
      <c r="H79" s="37">
        <f t="shared" si="76"/>
        <v>75922.98000000001</v>
      </c>
      <c r="I79" s="37">
        <f t="shared" si="76"/>
        <v>80747.588600000003</v>
      </c>
      <c r="J79" s="37">
        <f t="shared" si="76"/>
        <v>85909.919802000004</v>
      </c>
      <c r="K79" s="37">
        <f t="shared" si="76"/>
        <v>91433.614188140011</v>
      </c>
      <c r="L79" s="37">
        <f t="shared" si="76"/>
        <v>97343.96718130981</v>
      </c>
      <c r="M79" s="37">
        <f t="shared" si="76"/>
        <v>103668.04488400149</v>
      </c>
      <c r="N79" s="37">
        <f t="shared" si="76"/>
        <v>110434.80802588159</v>
      </c>
      <c r="O79" s="37">
        <f t="shared" si="76"/>
        <v>117675.24458769329</v>
      </c>
      <c r="P79" s="38">
        <f t="shared" si="76"/>
        <v>125422.51170883182</v>
      </c>
    </row>
    <row r="80" spans="1:16" x14ac:dyDescent="0.25">
      <c r="A80" s="6"/>
      <c r="B80" s="19" t="s">
        <v>40</v>
      </c>
      <c r="C80" s="19"/>
      <c r="D80" s="19"/>
      <c r="E80" s="19"/>
      <c r="F80" s="20">
        <v>4000</v>
      </c>
      <c r="G80" s="20">
        <v>4000</v>
      </c>
      <c r="H80" s="20">
        <v>4000</v>
      </c>
      <c r="I80" s="20">
        <v>4000</v>
      </c>
      <c r="J80" s="20">
        <v>4000</v>
      </c>
      <c r="K80" s="20">
        <v>4000</v>
      </c>
      <c r="L80" s="20">
        <v>4000</v>
      </c>
      <c r="M80" s="20">
        <v>4000</v>
      </c>
      <c r="N80" s="20">
        <v>4000</v>
      </c>
      <c r="O80" s="20">
        <v>4000</v>
      </c>
      <c r="P80" s="21">
        <v>4000</v>
      </c>
    </row>
    <row r="81" spans="1:16" x14ac:dyDescent="0.25">
      <c r="A81" s="6"/>
      <c r="B81" s="25" t="s">
        <v>27</v>
      </c>
      <c r="C81" s="25"/>
      <c r="D81" s="25"/>
      <c r="E81" s="25"/>
      <c r="F81" s="26">
        <f>60*26</f>
        <v>1560</v>
      </c>
      <c r="G81" s="26">
        <f t="shared" ref="G81:P81" si="77">60*26</f>
        <v>1560</v>
      </c>
      <c r="H81" s="26">
        <f t="shared" si="77"/>
        <v>1560</v>
      </c>
      <c r="I81" s="26">
        <f t="shared" si="77"/>
        <v>1560</v>
      </c>
      <c r="J81" s="26">
        <f t="shared" si="77"/>
        <v>1560</v>
      </c>
      <c r="K81" s="26">
        <f t="shared" si="77"/>
        <v>1560</v>
      </c>
      <c r="L81" s="26">
        <f t="shared" si="77"/>
        <v>1560</v>
      </c>
      <c r="M81" s="26">
        <f t="shared" si="77"/>
        <v>1560</v>
      </c>
      <c r="N81" s="26">
        <f t="shared" si="77"/>
        <v>1560</v>
      </c>
      <c r="O81" s="26">
        <f t="shared" si="77"/>
        <v>1560</v>
      </c>
      <c r="P81" s="27">
        <f t="shared" si="77"/>
        <v>1560</v>
      </c>
    </row>
    <row r="82" spans="1:16" x14ac:dyDescent="0.25">
      <c r="A82" s="28" t="s">
        <v>28</v>
      </c>
      <c r="B82" s="29"/>
      <c r="C82" s="29"/>
      <c r="D82" s="29"/>
      <c r="E82" s="29"/>
      <c r="F82" s="30">
        <f>F79+F80+F81</f>
        <v>72760</v>
      </c>
      <c r="G82" s="30">
        <f t="shared" ref="G82:P82" si="78">G79+G80+G81</f>
        <v>76974</v>
      </c>
      <c r="H82" s="30">
        <f t="shared" si="78"/>
        <v>81482.98000000001</v>
      </c>
      <c r="I82" s="30">
        <f t="shared" si="78"/>
        <v>86307.588600000003</v>
      </c>
      <c r="J82" s="30">
        <f t="shared" si="78"/>
        <v>91469.919802000004</v>
      </c>
      <c r="K82" s="30">
        <f t="shared" si="78"/>
        <v>96993.614188140011</v>
      </c>
      <c r="L82" s="30">
        <f t="shared" si="78"/>
        <v>102903.96718130981</v>
      </c>
      <c r="M82" s="30">
        <f t="shared" si="78"/>
        <v>109228.04488400149</v>
      </c>
      <c r="N82" s="30">
        <f t="shared" si="78"/>
        <v>115994.80802588159</v>
      </c>
      <c r="O82" s="30">
        <f t="shared" si="78"/>
        <v>123235.24458769329</v>
      </c>
      <c r="P82" s="31">
        <f t="shared" si="78"/>
        <v>130982.51170883182</v>
      </c>
    </row>
    <row r="83" spans="1:16" x14ac:dyDescent="0.25">
      <c r="A83" s="6">
        <v>8</v>
      </c>
      <c r="B83" s="7" t="s">
        <v>43</v>
      </c>
      <c r="C83" s="8" t="s">
        <v>16</v>
      </c>
      <c r="D83" s="9">
        <v>7.0000000000000007E-2</v>
      </c>
      <c r="E83" s="10" t="s">
        <v>44</v>
      </c>
      <c r="F83" s="32">
        <v>25000</v>
      </c>
      <c r="G83" s="11">
        <f>F83*7%+F83</f>
        <v>26750</v>
      </c>
      <c r="H83" s="11">
        <f t="shared" ref="H83:P83" si="79">G83*7%+G83</f>
        <v>28622.5</v>
      </c>
      <c r="I83" s="11">
        <f t="shared" si="79"/>
        <v>30626.075000000001</v>
      </c>
      <c r="J83" s="11">
        <f t="shared" si="79"/>
        <v>32769.900249999999</v>
      </c>
      <c r="K83" s="11">
        <f t="shared" si="79"/>
        <v>35063.793267499997</v>
      </c>
      <c r="L83" s="11">
        <f t="shared" si="79"/>
        <v>37518.258796224996</v>
      </c>
      <c r="M83" s="11">
        <f t="shared" si="79"/>
        <v>40144.536911960749</v>
      </c>
      <c r="N83" s="11">
        <f t="shared" si="79"/>
        <v>42954.654495798</v>
      </c>
      <c r="O83" s="11">
        <f t="shared" si="79"/>
        <v>45961.480310503859</v>
      </c>
      <c r="P83" s="12">
        <f t="shared" si="79"/>
        <v>49178.78393223913</v>
      </c>
    </row>
    <row r="84" spans="1:16" x14ac:dyDescent="0.25">
      <c r="A84" s="6"/>
      <c r="B84" s="7"/>
      <c r="C84" s="8" t="s">
        <v>18</v>
      </c>
      <c r="D84" s="9">
        <v>0.7</v>
      </c>
      <c r="E84" s="10"/>
      <c r="F84" s="32">
        <f>F83*70%</f>
        <v>17500</v>
      </c>
      <c r="G84" s="32">
        <f t="shared" ref="G84:P84" si="80">G83*70%</f>
        <v>18725</v>
      </c>
      <c r="H84" s="32">
        <f t="shared" si="80"/>
        <v>20035.75</v>
      </c>
      <c r="I84" s="32">
        <f t="shared" si="80"/>
        <v>21438.252499999999</v>
      </c>
      <c r="J84" s="32">
        <f t="shared" si="80"/>
        <v>22938.930174999998</v>
      </c>
      <c r="K84" s="32">
        <f t="shared" si="80"/>
        <v>24544.655287249996</v>
      </c>
      <c r="L84" s="32">
        <f t="shared" si="80"/>
        <v>26262.781157357495</v>
      </c>
      <c r="M84" s="32">
        <f t="shared" si="80"/>
        <v>28101.175838372525</v>
      </c>
      <c r="N84" s="32">
        <f t="shared" si="80"/>
        <v>30068.258147058597</v>
      </c>
      <c r="O84" s="32">
        <f t="shared" si="80"/>
        <v>32173.036217352699</v>
      </c>
      <c r="P84" s="33">
        <f t="shared" si="80"/>
        <v>34425.148752567387</v>
      </c>
    </row>
    <row r="85" spans="1:16" x14ac:dyDescent="0.25">
      <c r="A85" s="6"/>
      <c r="B85" s="7"/>
      <c r="C85" s="8" t="s">
        <v>19</v>
      </c>
      <c r="D85" s="8" t="s">
        <v>20</v>
      </c>
      <c r="E85" s="10"/>
      <c r="F85" s="11">
        <v>3000</v>
      </c>
      <c r="G85" s="11">
        <f>F85</f>
        <v>3000</v>
      </c>
      <c r="H85" s="11">
        <f t="shared" ref="H85:P85" si="81">G85</f>
        <v>3000</v>
      </c>
      <c r="I85" s="11">
        <f t="shared" si="81"/>
        <v>3000</v>
      </c>
      <c r="J85" s="11">
        <f t="shared" si="81"/>
        <v>3000</v>
      </c>
      <c r="K85" s="11">
        <f t="shared" si="81"/>
        <v>3000</v>
      </c>
      <c r="L85" s="11">
        <f t="shared" si="81"/>
        <v>3000</v>
      </c>
      <c r="M85" s="11">
        <f t="shared" si="81"/>
        <v>3000</v>
      </c>
      <c r="N85" s="11">
        <f t="shared" si="81"/>
        <v>3000</v>
      </c>
      <c r="O85" s="11">
        <f t="shared" si="81"/>
        <v>3000</v>
      </c>
      <c r="P85" s="12">
        <f t="shared" si="81"/>
        <v>3000</v>
      </c>
    </row>
    <row r="86" spans="1:16" x14ac:dyDescent="0.25">
      <c r="A86" s="6"/>
      <c r="B86" s="7"/>
      <c r="C86" s="8" t="s">
        <v>21</v>
      </c>
      <c r="D86" s="9">
        <v>0.35</v>
      </c>
      <c r="E86" s="10"/>
      <c r="F86" s="32">
        <f>F83*35%</f>
        <v>8750</v>
      </c>
      <c r="G86" s="32">
        <f t="shared" ref="G86:P86" si="82">G83*35%</f>
        <v>9362.5</v>
      </c>
      <c r="H86" s="32">
        <f t="shared" si="82"/>
        <v>10017.875</v>
      </c>
      <c r="I86" s="32">
        <f t="shared" si="82"/>
        <v>10719.126249999999</v>
      </c>
      <c r="J86" s="32">
        <f t="shared" si="82"/>
        <v>11469.465087499999</v>
      </c>
      <c r="K86" s="32">
        <f t="shared" si="82"/>
        <v>12272.327643624998</v>
      </c>
      <c r="L86" s="32">
        <f t="shared" si="82"/>
        <v>13131.390578678747</v>
      </c>
      <c r="M86" s="32">
        <f t="shared" si="82"/>
        <v>14050.587919186262</v>
      </c>
      <c r="N86" s="32">
        <f t="shared" si="82"/>
        <v>15034.129073529299</v>
      </c>
      <c r="O86" s="32">
        <f t="shared" si="82"/>
        <v>16086.51810867635</v>
      </c>
      <c r="P86" s="33">
        <f t="shared" si="82"/>
        <v>17212.574376283694</v>
      </c>
    </row>
    <row r="87" spans="1:16" x14ac:dyDescent="0.25">
      <c r="A87" s="6"/>
      <c r="B87" s="7"/>
      <c r="C87" s="8" t="s">
        <v>22</v>
      </c>
      <c r="D87" s="8" t="s">
        <v>20</v>
      </c>
      <c r="E87" s="10"/>
      <c r="F87" s="11">
        <v>4000</v>
      </c>
      <c r="G87" s="11">
        <f>F87</f>
        <v>4000</v>
      </c>
      <c r="H87" s="11">
        <f t="shared" ref="H87:P87" si="83">G87</f>
        <v>4000</v>
      </c>
      <c r="I87" s="11">
        <f t="shared" si="83"/>
        <v>4000</v>
      </c>
      <c r="J87" s="11">
        <f t="shared" si="83"/>
        <v>4000</v>
      </c>
      <c r="K87" s="11">
        <f t="shared" si="83"/>
        <v>4000</v>
      </c>
      <c r="L87" s="11">
        <f t="shared" si="83"/>
        <v>4000</v>
      </c>
      <c r="M87" s="11">
        <f t="shared" si="83"/>
        <v>4000</v>
      </c>
      <c r="N87" s="11">
        <f t="shared" si="83"/>
        <v>4000</v>
      </c>
      <c r="O87" s="11">
        <f t="shared" si="83"/>
        <v>4000</v>
      </c>
      <c r="P87" s="12">
        <f t="shared" si="83"/>
        <v>4000</v>
      </c>
    </row>
    <row r="88" spans="1:16" x14ac:dyDescent="0.25">
      <c r="A88" s="6"/>
      <c r="B88" s="13" t="s">
        <v>23</v>
      </c>
      <c r="C88" s="13"/>
      <c r="D88" s="13"/>
      <c r="E88" s="13"/>
      <c r="F88" s="34">
        <f>SUM(F83:F87)</f>
        <v>58250</v>
      </c>
      <c r="G88" s="34">
        <f t="shared" ref="G88:P88" si="84">SUM(G83:G87)</f>
        <v>61837.5</v>
      </c>
      <c r="H88" s="34">
        <f t="shared" si="84"/>
        <v>65676.125</v>
      </c>
      <c r="I88" s="34">
        <f t="shared" si="84"/>
        <v>69783.453750000001</v>
      </c>
      <c r="J88" s="34">
        <f t="shared" si="84"/>
        <v>74178.295512499986</v>
      </c>
      <c r="K88" s="34">
        <f t="shared" si="84"/>
        <v>78880.776198374995</v>
      </c>
      <c r="L88" s="34">
        <f t="shared" si="84"/>
        <v>83912.430532261234</v>
      </c>
      <c r="M88" s="34">
        <f t="shared" si="84"/>
        <v>89296.300669519536</v>
      </c>
      <c r="N88" s="34">
        <f t="shared" si="84"/>
        <v>95057.041716385895</v>
      </c>
      <c r="O88" s="34">
        <f t="shared" si="84"/>
        <v>101221.0346365329</v>
      </c>
      <c r="P88" s="35">
        <f t="shared" si="84"/>
        <v>107816.50706109022</v>
      </c>
    </row>
    <row r="89" spans="1:16" x14ac:dyDescent="0.25">
      <c r="A89" s="6"/>
      <c r="B89" s="16" t="s">
        <v>24</v>
      </c>
      <c r="C89" s="16"/>
      <c r="D89" s="16"/>
      <c r="E89" s="16"/>
      <c r="F89" s="17">
        <f>F83*10%+100</f>
        <v>2600</v>
      </c>
      <c r="G89" s="17">
        <f t="shared" ref="G89:P89" si="85">G83*10%+100</f>
        <v>2775</v>
      </c>
      <c r="H89" s="17">
        <f t="shared" si="85"/>
        <v>2962.25</v>
      </c>
      <c r="I89" s="17">
        <f t="shared" si="85"/>
        <v>3162.6075000000001</v>
      </c>
      <c r="J89" s="17">
        <f t="shared" si="85"/>
        <v>3376.9900250000001</v>
      </c>
      <c r="K89" s="17">
        <f t="shared" si="85"/>
        <v>3606.37932675</v>
      </c>
      <c r="L89" s="17">
        <f t="shared" si="85"/>
        <v>3851.8258796225</v>
      </c>
      <c r="M89" s="17">
        <f t="shared" si="85"/>
        <v>4114.4536911960749</v>
      </c>
      <c r="N89" s="17">
        <f t="shared" si="85"/>
        <v>4395.4654495798004</v>
      </c>
      <c r="O89" s="17">
        <f t="shared" si="85"/>
        <v>4696.1480310503857</v>
      </c>
      <c r="P89" s="18">
        <f t="shared" si="85"/>
        <v>5017.878393223913</v>
      </c>
    </row>
    <row r="90" spans="1:16" x14ac:dyDescent="0.25">
      <c r="A90" s="6"/>
      <c r="B90" s="19" t="s">
        <v>25</v>
      </c>
      <c r="C90" s="19"/>
      <c r="D90" s="19"/>
      <c r="E90" s="19"/>
      <c r="F90" s="20">
        <f>F88-F89</f>
        <v>55650</v>
      </c>
      <c r="G90" s="20">
        <f>G88-G89</f>
        <v>59062.5</v>
      </c>
      <c r="H90" s="20">
        <f t="shared" ref="H90:P90" si="86">H88-H89</f>
        <v>62713.875</v>
      </c>
      <c r="I90" s="20">
        <f t="shared" si="86"/>
        <v>66620.846250000002</v>
      </c>
      <c r="J90" s="20">
        <f t="shared" si="86"/>
        <v>70801.30548749998</v>
      </c>
      <c r="K90" s="20">
        <f t="shared" si="86"/>
        <v>75274.396871624995</v>
      </c>
      <c r="L90" s="20">
        <f t="shared" si="86"/>
        <v>80060.604652638736</v>
      </c>
      <c r="M90" s="20">
        <f t="shared" si="86"/>
        <v>85181.846978323461</v>
      </c>
      <c r="N90" s="20">
        <f t="shared" si="86"/>
        <v>90661.576266806092</v>
      </c>
      <c r="O90" s="20">
        <f t="shared" si="86"/>
        <v>96524.886605482519</v>
      </c>
      <c r="P90" s="21">
        <f t="shared" si="86"/>
        <v>102798.6286678663</v>
      </c>
    </row>
    <row r="91" spans="1:16" x14ac:dyDescent="0.25">
      <c r="A91" s="6"/>
      <c r="B91" s="22" t="s">
        <v>26</v>
      </c>
      <c r="C91" s="22"/>
      <c r="D91" s="22"/>
      <c r="E91" s="22"/>
      <c r="F91" s="23">
        <f>F83*10%</f>
        <v>2500</v>
      </c>
      <c r="G91" s="23">
        <f t="shared" ref="G91:P91" si="87">G83*10%</f>
        <v>2675</v>
      </c>
      <c r="H91" s="23">
        <f t="shared" si="87"/>
        <v>2862.25</v>
      </c>
      <c r="I91" s="23">
        <f t="shared" si="87"/>
        <v>3062.6075000000001</v>
      </c>
      <c r="J91" s="23">
        <f t="shared" si="87"/>
        <v>3276.9900250000001</v>
      </c>
      <c r="K91" s="23">
        <f t="shared" si="87"/>
        <v>3506.37932675</v>
      </c>
      <c r="L91" s="23">
        <f t="shared" si="87"/>
        <v>3751.8258796225</v>
      </c>
      <c r="M91" s="23">
        <f t="shared" si="87"/>
        <v>4014.4536911960749</v>
      </c>
      <c r="N91" s="23">
        <f t="shared" si="87"/>
        <v>4295.4654495798004</v>
      </c>
      <c r="O91" s="23">
        <f t="shared" si="87"/>
        <v>4596.1480310503857</v>
      </c>
      <c r="P91" s="24">
        <f t="shared" si="87"/>
        <v>4917.878393223913</v>
      </c>
    </row>
    <row r="92" spans="1:16" x14ac:dyDescent="0.25">
      <c r="A92" s="6"/>
      <c r="B92" s="36" t="s">
        <v>39</v>
      </c>
      <c r="C92" s="36"/>
      <c r="D92" s="36"/>
      <c r="E92" s="36"/>
      <c r="F92" s="37">
        <f>F88+F91</f>
        <v>60750</v>
      </c>
      <c r="G92" s="37">
        <f t="shared" ref="G92:P92" si="88">G88+G91</f>
        <v>64512.5</v>
      </c>
      <c r="H92" s="37">
        <f t="shared" si="88"/>
        <v>68538.375</v>
      </c>
      <c r="I92" s="37">
        <f t="shared" si="88"/>
        <v>72846.061249999999</v>
      </c>
      <c r="J92" s="37">
        <f t="shared" si="88"/>
        <v>77455.285537499993</v>
      </c>
      <c r="K92" s="37">
        <f t="shared" si="88"/>
        <v>82387.155525124996</v>
      </c>
      <c r="L92" s="37">
        <f t="shared" si="88"/>
        <v>87664.256411883733</v>
      </c>
      <c r="M92" s="37">
        <f t="shared" si="88"/>
        <v>93310.754360715611</v>
      </c>
      <c r="N92" s="37">
        <f t="shared" si="88"/>
        <v>99352.507165965697</v>
      </c>
      <c r="O92" s="37">
        <f t="shared" si="88"/>
        <v>105817.18266758329</v>
      </c>
      <c r="P92" s="38">
        <f t="shared" si="88"/>
        <v>112734.38545431414</v>
      </c>
    </row>
    <row r="93" spans="1:16" x14ac:dyDescent="0.25">
      <c r="A93" s="6"/>
      <c r="B93" s="19" t="s">
        <v>40</v>
      </c>
      <c r="C93" s="19"/>
      <c r="D93" s="19"/>
      <c r="E93" s="19"/>
      <c r="F93" s="20">
        <v>4000</v>
      </c>
      <c r="G93" s="20">
        <v>4000</v>
      </c>
      <c r="H93" s="20">
        <v>4000</v>
      </c>
      <c r="I93" s="20">
        <v>4000</v>
      </c>
      <c r="J93" s="20">
        <v>4000</v>
      </c>
      <c r="K93" s="20">
        <v>4000</v>
      </c>
      <c r="L93" s="20">
        <v>4000</v>
      </c>
      <c r="M93" s="20">
        <v>4000</v>
      </c>
      <c r="N93" s="20">
        <v>4000</v>
      </c>
      <c r="O93" s="20">
        <v>4000</v>
      </c>
      <c r="P93" s="21">
        <v>4000</v>
      </c>
    </row>
    <row r="94" spans="1:16" x14ac:dyDescent="0.25">
      <c r="A94" s="6"/>
      <c r="B94" s="25" t="s">
        <v>27</v>
      </c>
      <c r="C94" s="25"/>
      <c r="D94" s="25"/>
      <c r="E94" s="25"/>
      <c r="F94" s="26">
        <f>60*26</f>
        <v>1560</v>
      </c>
      <c r="G94" s="26">
        <f t="shared" ref="G94:P94" si="89">60*26</f>
        <v>1560</v>
      </c>
      <c r="H94" s="26">
        <f t="shared" si="89"/>
        <v>1560</v>
      </c>
      <c r="I94" s="26">
        <f t="shared" si="89"/>
        <v>1560</v>
      </c>
      <c r="J94" s="26">
        <f t="shared" si="89"/>
        <v>1560</v>
      </c>
      <c r="K94" s="26">
        <f t="shared" si="89"/>
        <v>1560</v>
      </c>
      <c r="L94" s="26">
        <f t="shared" si="89"/>
        <v>1560</v>
      </c>
      <c r="M94" s="26">
        <f t="shared" si="89"/>
        <v>1560</v>
      </c>
      <c r="N94" s="26">
        <f t="shared" si="89"/>
        <v>1560</v>
      </c>
      <c r="O94" s="26">
        <f t="shared" si="89"/>
        <v>1560</v>
      </c>
      <c r="P94" s="27">
        <f t="shared" si="89"/>
        <v>1560</v>
      </c>
    </row>
    <row r="95" spans="1:16" x14ac:dyDescent="0.25">
      <c r="A95" s="28" t="s">
        <v>28</v>
      </c>
      <c r="B95" s="29"/>
      <c r="C95" s="29"/>
      <c r="D95" s="29"/>
      <c r="E95" s="29"/>
      <c r="F95" s="30">
        <f>F92+F93+F94</f>
        <v>66310</v>
      </c>
      <c r="G95" s="30">
        <f t="shared" ref="G95:P95" si="90">G92+G93+G94</f>
        <v>70072.5</v>
      </c>
      <c r="H95" s="30">
        <f t="shared" si="90"/>
        <v>74098.375</v>
      </c>
      <c r="I95" s="30">
        <f t="shared" si="90"/>
        <v>78406.061249999999</v>
      </c>
      <c r="J95" s="30">
        <f t="shared" si="90"/>
        <v>83015.285537499993</v>
      </c>
      <c r="K95" s="30">
        <f t="shared" si="90"/>
        <v>87947.155525124996</v>
      </c>
      <c r="L95" s="30">
        <f t="shared" si="90"/>
        <v>93224.256411883733</v>
      </c>
      <c r="M95" s="30">
        <f t="shared" si="90"/>
        <v>98870.754360715611</v>
      </c>
      <c r="N95" s="30">
        <f t="shared" si="90"/>
        <v>104912.5071659657</v>
      </c>
      <c r="O95" s="30">
        <f t="shared" si="90"/>
        <v>111377.18266758329</v>
      </c>
      <c r="P95" s="31">
        <f t="shared" si="90"/>
        <v>118294.38545431414</v>
      </c>
    </row>
    <row r="96" spans="1:16" x14ac:dyDescent="0.25">
      <c r="A96" s="6">
        <v>9</v>
      </c>
      <c r="B96" s="7" t="s">
        <v>45</v>
      </c>
      <c r="C96" s="8" t="s">
        <v>16</v>
      </c>
      <c r="D96" s="9">
        <v>7.0000000000000007E-2</v>
      </c>
      <c r="E96" s="10" t="s">
        <v>46</v>
      </c>
      <c r="F96" s="32">
        <v>23700</v>
      </c>
      <c r="G96" s="11">
        <f>F96*7%+F96</f>
        <v>25359</v>
      </c>
      <c r="H96" s="11">
        <f t="shared" ref="H96:P96" si="91">G96*7%+G96</f>
        <v>27134.13</v>
      </c>
      <c r="I96" s="11">
        <f t="shared" si="91"/>
        <v>29033.519100000001</v>
      </c>
      <c r="J96" s="11">
        <f t="shared" si="91"/>
        <v>31065.865437</v>
      </c>
      <c r="K96" s="11">
        <f t="shared" si="91"/>
        <v>33240.476017590001</v>
      </c>
      <c r="L96" s="11">
        <f t="shared" si="91"/>
        <v>35567.309338821302</v>
      </c>
      <c r="M96" s="11">
        <f t="shared" si="91"/>
        <v>38057.02099253879</v>
      </c>
      <c r="N96" s="11">
        <f t="shared" si="91"/>
        <v>40721.012462016508</v>
      </c>
      <c r="O96" s="11">
        <f t="shared" si="91"/>
        <v>43571.483334357661</v>
      </c>
      <c r="P96" s="12">
        <f t="shared" si="91"/>
        <v>46621.487167762694</v>
      </c>
    </row>
    <row r="97" spans="1:16" x14ac:dyDescent="0.25">
      <c r="A97" s="6"/>
      <c r="B97" s="7"/>
      <c r="C97" s="8" t="s">
        <v>18</v>
      </c>
      <c r="D97" s="9">
        <v>0.7</v>
      </c>
      <c r="E97" s="10"/>
      <c r="F97" s="32">
        <f>F96*70%</f>
        <v>16590</v>
      </c>
      <c r="G97" s="32">
        <f t="shared" ref="G97:P97" si="92">G96*70%</f>
        <v>17751.3</v>
      </c>
      <c r="H97" s="32">
        <f t="shared" si="92"/>
        <v>18993.891</v>
      </c>
      <c r="I97" s="32">
        <f t="shared" si="92"/>
        <v>20323.463370000001</v>
      </c>
      <c r="J97" s="32">
        <f t="shared" si="92"/>
        <v>21746.105805899999</v>
      </c>
      <c r="K97" s="32">
        <f t="shared" si="92"/>
        <v>23268.333212312999</v>
      </c>
      <c r="L97" s="32">
        <f t="shared" si="92"/>
        <v>24897.116537174908</v>
      </c>
      <c r="M97" s="32">
        <f t="shared" si="92"/>
        <v>26639.914694777151</v>
      </c>
      <c r="N97" s="32">
        <f t="shared" si="92"/>
        <v>28504.708723411553</v>
      </c>
      <c r="O97" s="32">
        <f t="shared" si="92"/>
        <v>30500.038334050361</v>
      </c>
      <c r="P97" s="33">
        <f t="shared" si="92"/>
        <v>32635.041017433883</v>
      </c>
    </row>
    <row r="98" spans="1:16" x14ac:dyDescent="0.25">
      <c r="A98" s="6"/>
      <c r="B98" s="7"/>
      <c r="C98" s="8" t="s">
        <v>19</v>
      </c>
      <c r="D98" s="8" t="s">
        <v>20</v>
      </c>
      <c r="E98" s="10"/>
      <c r="F98" s="11">
        <v>3000</v>
      </c>
      <c r="G98" s="11">
        <f>F98</f>
        <v>3000</v>
      </c>
      <c r="H98" s="11">
        <f t="shared" ref="H98:P98" si="93">G98</f>
        <v>3000</v>
      </c>
      <c r="I98" s="11">
        <f t="shared" si="93"/>
        <v>3000</v>
      </c>
      <c r="J98" s="11">
        <f t="shared" si="93"/>
        <v>3000</v>
      </c>
      <c r="K98" s="11">
        <f t="shared" si="93"/>
        <v>3000</v>
      </c>
      <c r="L98" s="11">
        <f t="shared" si="93"/>
        <v>3000</v>
      </c>
      <c r="M98" s="11">
        <f t="shared" si="93"/>
        <v>3000</v>
      </c>
      <c r="N98" s="11">
        <f t="shared" si="93"/>
        <v>3000</v>
      </c>
      <c r="O98" s="11">
        <f t="shared" si="93"/>
        <v>3000</v>
      </c>
      <c r="P98" s="12">
        <f t="shared" si="93"/>
        <v>3000</v>
      </c>
    </row>
    <row r="99" spans="1:16" x14ac:dyDescent="0.25">
      <c r="A99" s="6"/>
      <c r="B99" s="7"/>
      <c r="C99" s="8" t="s">
        <v>21</v>
      </c>
      <c r="D99" s="9">
        <v>0.35</v>
      </c>
      <c r="E99" s="10"/>
      <c r="F99" s="32">
        <f>F96*35%</f>
        <v>8295</v>
      </c>
      <c r="G99" s="32">
        <f t="shared" ref="G99:P99" si="94">G96*35%</f>
        <v>8875.65</v>
      </c>
      <c r="H99" s="32">
        <f t="shared" si="94"/>
        <v>9496.9454999999998</v>
      </c>
      <c r="I99" s="32">
        <f t="shared" si="94"/>
        <v>10161.731685000001</v>
      </c>
      <c r="J99" s="32">
        <f t="shared" si="94"/>
        <v>10873.052902949999</v>
      </c>
      <c r="K99" s="32">
        <f t="shared" si="94"/>
        <v>11634.166606156499</v>
      </c>
      <c r="L99" s="32">
        <f t="shared" si="94"/>
        <v>12448.558268587454</v>
      </c>
      <c r="M99" s="32">
        <f t="shared" si="94"/>
        <v>13319.957347388576</v>
      </c>
      <c r="N99" s="32">
        <f t="shared" si="94"/>
        <v>14252.354361705777</v>
      </c>
      <c r="O99" s="32">
        <f t="shared" si="94"/>
        <v>15250.019167025181</v>
      </c>
      <c r="P99" s="33">
        <f t="shared" si="94"/>
        <v>16317.520508716942</v>
      </c>
    </row>
    <row r="100" spans="1:16" x14ac:dyDescent="0.25">
      <c r="A100" s="6"/>
      <c r="B100" s="7"/>
      <c r="C100" s="8" t="s">
        <v>22</v>
      </c>
      <c r="D100" s="8" t="s">
        <v>20</v>
      </c>
      <c r="E100" s="10"/>
      <c r="F100" s="11">
        <v>4000</v>
      </c>
      <c r="G100" s="11">
        <f>F100</f>
        <v>4000</v>
      </c>
      <c r="H100" s="11">
        <f t="shared" ref="H100:P100" si="95">G100</f>
        <v>4000</v>
      </c>
      <c r="I100" s="11">
        <f t="shared" si="95"/>
        <v>4000</v>
      </c>
      <c r="J100" s="11">
        <f t="shared" si="95"/>
        <v>4000</v>
      </c>
      <c r="K100" s="11">
        <f t="shared" si="95"/>
        <v>4000</v>
      </c>
      <c r="L100" s="11">
        <f t="shared" si="95"/>
        <v>4000</v>
      </c>
      <c r="M100" s="11">
        <f t="shared" si="95"/>
        <v>4000</v>
      </c>
      <c r="N100" s="11">
        <f t="shared" si="95"/>
        <v>4000</v>
      </c>
      <c r="O100" s="11">
        <f t="shared" si="95"/>
        <v>4000</v>
      </c>
      <c r="P100" s="12">
        <f t="shared" si="95"/>
        <v>4000</v>
      </c>
    </row>
    <row r="101" spans="1:16" x14ac:dyDescent="0.25">
      <c r="A101" s="6"/>
      <c r="B101" s="13" t="s">
        <v>23</v>
      </c>
      <c r="C101" s="13"/>
      <c r="D101" s="13"/>
      <c r="E101" s="13"/>
      <c r="F101" s="34">
        <f>SUM(F96:F100)</f>
        <v>55585</v>
      </c>
      <c r="G101" s="34">
        <f t="shared" ref="G101:P101" si="96">SUM(G96:G100)</f>
        <v>58985.950000000004</v>
      </c>
      <c r="H101" s="34">
        <f t="shared" si="96"/>
        <v>62624.966500000002</v>
      </c>
      <c r="I101" s="34">
        <f t="shared" si="96"/>
        <v>66518.714154999994</v>
      </c>
      <c r="J101" s="34">
        <f t="shared" si="96"/>
        <v>70685.024145849995</v>
      </c>
      <c r="K101" s="34">
        <f t="shared" si="96"/>
        <v>75142.975836059501</v>
      </c>
      <c r="L101" s="34">
        <f t="shared" si="96"/>
        <v>79912.984144583665</v>
      </c>
      <c r="M101" s="34">
        <f t="shared" si="96"/>
        <v>85016.893034704524</v>
      </c>
      <c r="N101" s="34">
        <f t="shared" si="96"/>
        <v>90478.075547133834</v>
      </c>
      <c r="O101" s="34">
        <f t="shared" si="96"/>
        <v>96321.540835433203</v>
      </c>
      <c r="P101" s="35">
        <f t="shared" si="96"/>
        <v>102574.04869391352</v>
      </c>
    </row>
    <row r="102" spans="1:16" x14ac:dyDescent="0.25">
      <c r="A102" s="6"/>
      <c r="B102" s="16" t="s">
        <v>24</v>
      </c>
      <c r="C102" s="16"/>
      <c r="D102" s="16"/>
      <c r="E102" s="16"/>
      <c r="F102" s="17">
        <f>F96*10%+100</f>
        <v>2470</v>
      </c>
      <c r="G102" s="17">
        <f t="shared" ref="G102:P102" si="97">G96*10%+100</f>
        <v>2635.9</v>
      </c>
      <c r="H102" s="17">
        <f t="shared" si="97"/>
        <v>2813.4130000000005</v>
      </c>
      <c r="I102" s="17">
        <f t="shared" si="97"/>
        <v>3003.3519100000003</v>
      </c>
      <c r="J102" s="17">
        <f t="shared" si="97"/>
        <v>3206.5865437000002</v>
      </c>
      <c r="K102" s="17">
        <f t="shared" si="97"/>
        <v>3424.0476017590004</v>
      </c>
      <c r="L102" s="17">
        <f t="shared" si="97"/>
        <v>3656.7309338821306</v>
      </c>
      <c r="M102" s="17">
        <f t="shared" si="97"/>
        <v>3905.7020992538792</v>
      </c>
      <c r="N102" s="17">
        <f t="shared" si="97"/>
        <v>4172.1012462016515</v>
      </c>
      <c r="O102" s="17">
        <f t="shared" si="97"/>
        <v>4457.1483334357663</v>
      </c>
      <c r="P102" s="18">
        <f t="shared" si="97"/>
        <v>4762.1487167762698</v>
      </c>
    </row>
    <row r="103" spans="1:16" x14ac:dyDescent="0.25">
      <c r="A103" s="6"/>
      <c r="B103" s="19" t="s">
        <v>25</v>
      </c>
      <c r="C103" s="19"/>
      <c r="D103" s="19"/>
      <c r="E103" s="19"/>
      <c r="F103" s="20">
        <f>F101-F102</f>
        <v>53115</v>
      </c>
      <c r="G103" s="20">
        <f>G101-G102</f>
        <v>56350.05</v>
      </c>
      <c r="H103" s="20">
        <f t="shared" ref="H103:P103" si="98">H101-H102</f>
        <v>59811.553500000002</v>
      </c>
      <c r="I103" s="20">
        <f t="shared" si="98"/>
        <v>63515.362244999997</v>
      </c>
      <c r="J103" s="20">
        <f t="shared" si="98"/>
        <v>67478.437602149992</v>
      </c>
      <c r="K103" s="20">
        <f t="shared" si="98"/>
        <v>71718.928234300503</v>
      </c>
      <c r="L103" s="20">
        <f t="shared" si="98"/>
        <v>76256.253210701529</v>
      </c>
      <c r="M103" s="20">
        <f t="shared" si="98"/>
        <v>81111.19093545065</v>
      </c>
      <c r="N103" s="20">
        <f t="shared" si="98"/>
        <v>86305.974300932183</v>
      </c>
      <c r="O103" s="20">
        <f t="shared" si="98"/>
        <v>91864.392501997441</v>
      </c>
      <c r="P103" s="21">
        <f t="shared" si="98"/>
        <v>97811.899977137247</v>
      </c>
    </row>
    <row r="104" spans="1:16" x14ac:dyDescent="0.25">
      <c r="A104" s="6"/>
      <c r="B104" s="22" t="s">
        <v>26</v>
      </c>
      <c r="C104" s="22"/>
      <c r="D104" s="22"/>
      <c r="E104" s="22"/>
      <c r="F104" s="23">
        <f>F96*10%</f>
        <v>2370</v>
      </c>
      <c r="G104" s="23">
        <f t="shared" ref="G104:P104" si="99">G96*10%</f>
        <v>2535.9</v>
      </c>
      <c r="H104" s="23">
        <f t="shared" si="99"/>
        <v>2713.4130000000005</v>
      </c>
      <c r="I104" s="23">
        <f t="shared" si="99"/>
        <v>2903.3519100000003</v>
      </c>
      <c r="J104" s="23">
        <f t="shared" si="99"/>
        <v>3106.5865437000002</v>
      </c>
      <c r="K104" s="23">
        <f t="shared" si="99"/>
        <v>3324.0476017590004</v>
      </c>
      <c r="L104" s="23">
        <f t="shared" si="99"/>
        <v>3556.7309338821306</v>
      </c>
      <c r="M104" s="23">
        <f t="shared" si="99"/>
        <v>3805.7020992538792</v>
      </c>
      <c r="N104" s="23">
        <f t="shared" si="99"/>
        <v>4072.1012462016511</v>
      </c>
      <c r="O104" s="23">
        <f t="shared" si="99"/>
        <v>4357.1483334357663</v>
      </c>
      <c r="P104" s="24">
        <f t="shared" si="99"/>
        <v>4662.1487167762698</v>
      </c>
    </row>
    <row r="105" spans="1:16" x14ac:dyDescent="0.25">
      <c r="A105" s="6"/>
      <c r="B105" s="36" t="s">
        <v>39</v>
      </c>
      <c r="C105" s="36"/>
      <c r="D105" s="36"/>
      <c r="E105" s="36"/>
      <c r="F105" s="37">
        <f>F101+F104</f>
        <v>57955</v>
      </c>
      <c r="G105" s="37">
        <f t="shared" ref="G105:P105" si="100">G101+G104</f>
        <v>61521.850000000006</v>
      </c>
      <c r="H105" s="37">
        <f t="shared" si="100"/>
        <v>65338.379500000003</v>
      </c>
      <c r="I105" s="37">
        <f t="shared" si="100"/>
        <v>69422.066064999992</v>
      </c>
      <c r="J105" s="37">
        <f t="shared" si="100"/>
        <v>73791.610689549998</v>
      </c>
      <c r="K105" s="37">
        <f t="shared" si="100"/>
        <v>78467.023437818498</v>
      </c>
      <c r="L105" s="37">
        <f t="shared" si="100"/>
        <v>83469.715078465801</v>
      </c>
      <c r="M105" s="37">
        <f t="shared" si="100"/>
        <v>88822.595133958399</v>
      </c>
      <c r="N105" s="37">
        <f t="shared" si="100"/>
        <v>94550.176793335486</v>
      </c>
      <c r="O105" s="37">
        <f t="shared" si="100"/>
        <v>100678.68916886896</v>
      </c>
      <c r="P105" s="38">
        <f t="shared" si="100"/>
        <v>107236.19741068978</v>
      </c>
    </row>
    <row r="106" spans="1:16" x14ac:dyDescent="0.25">
      <c r="A106" s="6"/>
      <c r="B106" s="19" t="s">
        <v>40</v>
      </c>
      <c r="C106" s="19"/>
      <c r="D106" s="19"/>
      <c r="E106" s="19"/>
      <c r="F106" s="20">
        <v>4000</v>
      </c>
      <c r="G106" s="20">
        <v>4000</v>
      </c>
      <c r="H106" s="20">
        <v>4000</v>
      </c>
      <c r="I106" s="20">
        <v>4000</v>
      </c>
      <c r="J106" s="20">
        <v>4000</v>
      </c>
      <c r="K106" s="20">
        <v>4000</v>
      </c>
      <c r="L106" s="20">
        <v>4000</v>
      </c>
      <c r="M106" s="20">
        <v>4000</v>
      </c>
      <c r="N106" s="20">
        <v>4000</v>
      </c>
      <c r="O106" s="20">
        <v>4000</v>
      </c>
      <c r="P106" s="21">
        <v>4000</v>
      </c>
    </row>
    <row r="107" spans="1:16" x14ac:dyDescent="0.25">
      <c r="A107" s="6"/>
      <c r="B107" s="25" t="s">
        <v>27</v>
      </c>
      <c r="C107" s="25"/>
      <c r="D107" s="25"/>
      <c r="E107" s="25"/>
      <c r="F107" s="26">
        <f>60*26</f>
        <v>1560</v>
      </c>
      <c r="G107" s="26">
        <f t="shared" ref="G107:P107" si="101">60*26</f>
        <v>1560</v>
      </c>
      <c r="H107" s="26">
        <f t="shared" si="101"/>
        <v>1560</v>
      </c>
      <c r="I107" s="26">
        <f t="shared" si="101"/>
        <v>1560</v>
      </c>
      <c r="J107" s="26">
        <f t="shared" si="101"/>
        <v>1560</v>
      </c>
      <c r="K107" s="26">
        <f t="shared" si="101"/>
        <v>1560</v>
      </c>
      <c r="L107" s="26">
        <f t="shared" si="101"/>
        <v>1560</v>
      </c>
      <c r="M107" s="26">
        <f t="shared" si="101"/>
        <v>1560</v>
      </c>
      <c r="N107" s="26">
        <f t="shared" si="101"/>
        <v>1560</v>
      </c>
      <c r="O107" s="26">
        <f t="shared" si="101"/>
        <v>1560</v>
      </c>
      <c r="P107" s="27">
        <f t="shared" si="101"/>
        <v>1560</v>
      </c>
    </row>
    <row r="108" spans="1:16" x14ac:dyDescent="0.25">
      <c r="A108" s="28" t="s">
        <v>28</v>
      </c>
      <c r="B108" s="29"/>
      <c r="C108" s="29"/>
      <c r="D108" s="29"/>
      <c r="E108" s="29"/>
      <c r="F108" s="30">
        <f>F105+F106+F107</f>
        <v>63515</v>
      </c>
      <c r="G108" s="30">
        <f t="shared" ref="G108:P108" si="102">G105+G106+G107</f>
        <v>67081.850000000006</v>
      </c>
      <c r="H108" s="30">
        <f t="shared" si="102"/>
        <v>70898.37950000001</v>
      </c>
      <c r="I108" s="30">
        <f t="shared" si="102"/>
        <v>74982.066064999992</v>
      </c>
      <c r="J108" s="30">
        <f t="shared" si="102"/>
        <v>79351.610689549998</v>
      </c>
      <c r="K108" s="30">
        <f t="shared" si="102"/>
        <v>84027.023437818498</v>
      </c>
      <c r="L108" s="30">
        <f t="shared" si="102"/>
        <v>89029.715078465801</v>
      </c>
      <c r="M108" s="30">
        <f t="shared" si="102"/>
        <v>94382.595133958399</v>
      </c>
      <c r="N108" s="30">
        <f t="shared" si="102"/>
        <v>100110.17679333549</v>
      </c>
      <c r="O108" s="30">
        <f t="shared" si="102"/>
        <v>106238.68916886896</v>
      </c>
      <c r="P108" s="31">
        <f t="shared" si="102"/>
        <v>112796.19741068978</v>
      </c>
    </row>
    <row r="109" spans="1:16" x14ac:dyDescent="0.25">
      <c r="A109" s="6">
        <v>10</v>
      </c>
      <c r="B109" s="39" t="s">
        <v>47</v>
      </c>
      <c r="C109" s="8" t="s">
        <v>16</v>
      </c>
      <c r="D109" s="9">
        <v>7.0000000000000007E-2</v>
      </c>
      <c r="E109" s="10" t="s">
        <v>48</v>
      </c>
      <c r="F109" s="32">
        <v>20000</v>
      </c>
      <c r="G109" s="11">
        <f>F109*7%+F109</f>
        <v>21400</v>
      </c>
      <c r="H109" s="11">
        <f t="shared" ref="H109:P109" si="103">G109*7%+G109</f>
        <v>22898</v>
      </c>
      <c r="I109" s="11">
        <f t="shared" si="103"/>
        <v>24500.86</v>
      </c>
      <c r="J109" s="11">
        <f t="shared" si="103"/>
        <v>26215.9202</v>
      </c>
      <c r="K109" s="11">
        <f t="shared" si="103"/>
        <v>28051.034614</v>
      </c>
      <c r="L109" s="11">
        <f t="shared" si="103"/>
        <v>30014.60703698</v>
      </c>
      <c r="M109" s="11">
        <f t="shared" si="103"/>
        <v>32115.6295295686</v>
      </c>
      <c r="N109" s="11">
        <f t="shared" si="103"/>
        <v>34363.723596638403</v>
      </c>
      <c r="O109" s="11">
        <f t="shared" si="103"/>
        <v>36769.184248403093</v>
      </c>
      <c r="P109" s="12">
        <f t="shared" si="103"/>
        <v>39343.027145791311</v>
      </c>
    </row>
    <row r="110" spans="1:16" x14ac:dyDescent="0.25">
      <c r="A110" s="6"/>
      <c r="B110" s="7"/>
      <c r="C110" s="8" t="s">
        <v>18</v>
      </c>
      <c r="D110" s="9">
        <v>0.7</v>
      </c>
      <c r="E110" s="10"/>
      <c r="F110" s="32">
        <f>F109*70%</f>
        <v>14000</v>
      </c>
      <c r="G110" s="32">
        <f t="shared" ref="G110:P110" si="104">G109*70%</f>
        <v>14979.999999999998</v>
      </c>
      <c r="H110" s="32">
        <f t="shared" si="104"/>
        <v>16028.599999999999</v>
      </c>
      <c r="I110" s="32">
        <f t="shared" si="104"/>
        <v>17150.601999999999</v>
      </c>
      <c r="J110" s="32">
        <f t="shared" si="104"/>
        <v>18351.14414</v>
      </c>
      <c r="K110" s="32">
        <f t="shared" si="104"/>
        <v>19635.724229799998</v>
      </c>
      <c r="L110" s="32">
        <f t="shared" si="104"/>
        <v>21010.224925885999</v>
      </c>
      <c r="M110" s="32">
        <f t="shared" si="104"/>
        <v>22480.940670698019</v>
      </c>
      <c r="N110" s="32">
        <f t="shared" si="104"/>
        <v>24054.60651764688</v>
      </c>
      <c r="O110" s="32">
        <f t="shared" si="104"/>
        <v>25738.428973882164</v>
      </c>
      <c r="P110" s="33">
        <f t="shared" si="104"/>
        <v>27540.119002053918</v>
      </c>
    </row>
    <row r="111" spans="1:16" x14ac:dyDescent="0.25">
      <c r="A111" s="6"/>
      <c r="B111" s="7"/>
      <c r="C111" s="8" t="s">
        <v>19</v>
      </c>
      <c r="D111" s="8" t="s">
        <v>20</v>
      </c>
      <c r="E111" s="10"/>
      <c r="F111" s="11">
        <v>3000</v>
      </c>
      <c r="G111" s="11">
        <f>F111</f>
        <v>3000</v>
      </c>
      <c r="H111" s="11">
        <f t="shared" ref="H111:P111" si="105">G111</f>
        <v>3000</v>
      </c>
      <c r="I111" s="11">
        <f t="shared" si="105"/>
        <v>3000</v>
      </c>
      <c r="J111" s="11">
        <f t="shared" si="105"/>
        <v>3000</v>
      </c>
      <c r="K111" s="11">
        <f t="shared" si="105"/>
        <v>3000</v>
      </c>
      <c r="L111" s="11">
        <f t="shared" si="105"/>
        <v>3000</v>
      </c>
      <c r="M111" s="11">
        <f t="shared" si="105"/>
        <v>3000</v>
      </c>
      <c r="N111" s="11">
        <f t="shared" si="105"/>
        <v>3000</v>
      </c>
      <c r="O111" s="11">
        <f t="shared" si="105"/>
        <v>3000</v>
      </c>
      <c r="P111" s="12">
        <f t="shared" si="105"/>
        <v>3000</v>
      </c>
    </row>
    <row r="112" spans="1:16" x14ac:dyDescent="0.25">
      <c r="A112" s="6"/>
      <c r="B112" s="7"/>
      <c r="C112" s="8" t="s">
        <v>21</v>
      </c>
      <c r="D112" s="9">
        <v>0.35</v>
      </c>
      <c r="E112" s="10"/>
      <c r="F112" s="32">
        <f>F109*35%</f>
        <v>7000</v>
      </c>
      <c r="G112" s="32">
        <f t="shared" ref="G112:P112" si="106">G109*35%</f>
        <v>7489.9999999999991</v>
      </c>
      <c r="H112" s="32">
        <f t="shared" si="106"/>
        <v>8014.2999999999993</v>
      </c>
      <c r="I112" s="32">
        <f t="shared" si="106"/>
        <v>8575.3009999999995</v>
      </c>
      <c r="J112" s="32">
        <f t="shared" si="106"/>
        <v>9175.5720700000002</v>
      </c>
      <c r="K112" s="32">
        <f t="shared" si="106"/>
        <v>9817.8621148999991</v>
      </c>
      <c r="L112" s="32">
        <f t="shared" si="106"/>
        <v>10505.112462943</v>
      </c>
      <c r="M112" s="32">
        <f t="shared" si="106"/>
        <v>11240.470335349009</v>
      </c>
      <c r="N112" s="32">
        <f t="shared" si="106"/>
        <v>12027.30325882344</v>
      </c>
      <c r="O112" s="32">
        <f t="shared" si="106"/>
        <v>12869.214486941082</v>
      </c>
      <c r="P112" s="33">
        <f t="shared" si="106"/>
        <v>13770.059501026959</v>
      </c>
    </row>
    <row r="113" spans="1:16" x14ac:dyDescent="0.25">
      <c r="A113" s="6"/>
      <c r="B113" s="7"/>
      <c r="C113" s="8" t="s">
        <v>22</v>
      </c>
      <c r="D113" s="8" t="s">
        <v>20</v>
      </c>
      <c r="E113" s="10"/>
      <c r="F113" s="11">
        <v>4000</v>
      </c>
      <c r="G113" s="11">
        <f>F113</f>
        <v>4000</v>
      </c>
      <c r="H113" s="11">
        <f t="shared" ref="H113:P113" si="107">G113</f>
        <v>4000</v>
      </c>
      <c r="I113" s="11">
        <f t="shared" si="107"/>
        <v>4000</v>
      </c>
      <c r="J113" s="11">
        <f t="shared" si="107"/>
        <v>4000</v>
      </c>
      <c r="K113" s="11">
        <f t="shared" si="107"/>
        <v>4000</v>
      </c>
      <c r="L113" s="11">
        <f t="shared" si="107"/>
        <v>4000</v>
      </c>
      <c r="M113" s="11">
        <f t="shared" si="107"/>
        <v>4000</v>
      </c>
      <c r="N113" s="11">
        <f t="shared" si="107"/>
        <v>4000</v>
      </c>
      <c r="O113" s="11">
        <f t="shared" si="107"/>
        <v>4000</v>
      </c>
      <c r="P113" s="12">
        <f t="shared" si="107"/>
        <v>4000</v>
      </c>
    </row>
    <row r="114" spans="1:16" x14ac:dyDescent="0.25">
      <c r="A114" s="6"/>
      <c r="B114" s="13" t="s">
        <v>23</v>
      </c>
      <c r="C114" s="13"/>
      <c r="D114" s="13"/>
      <c r="E114" s="13"/>
      <c r="F114" s="34">
        <f>SUM(F109:F113)</f>
        <v>48000</v>
      </c>
      <c r="G114" s="34">
        <f t="shared" ref="G114:P114" si="108">SUM(G109:G113)</f>
        <v>50870</v>
      </c>
      <c r="H114" s="34">
        <f t="shared" si="108"/>
        <v>53940.899999999994</v>
      </c>
      <c r="I114" s="34">
        <f t="shared" si="108"/>
        <v>57226.762999999999</v>
      </c>
      <c r="J114" s="34">
        <f t="shared" si="108"/>
        <v>60742.636409999999</v>
      </c>
      <c r="K114" s="34">
        <f t="shared" si="108"/>
        <v>64504.62095869999</v>
      </c>
      <c r="L114" s="34">
        <f t="shared" si="108"/>
        <v>68529.944425808993</v>
      </c>
      <c r="M114" s="34">
        <f t="shared" si="108"/>
        <v>72837.040535615626</v>
      </c>
      <c r="N114" s="34">
        <f t="shared" si="108"/>
        <v>77445.633373108722</v>
      </c>
      <c r="O114" s="34">
        <f t="shared" si="108"/>
        <v>82376.827709226345</v>
      </c>
      <c r="P114" s="35">
        <f t="shared" si="108"/>
        <v>87653.205648872186</v>
      </c>
    </row>
    <row r="115" spans="1:16" x14ac:dyDescent="0.25">
      <c r="A115" s="6"/>
      <c r="B115" s="16" t="s">
        <v>24</v>
      </c>
      <c r="C115" s="16"/>
      <c r="D115" s="16"/>
      <c r="E115" s="16"/>
      <c r="F115" s="17">
        <f>F109*10%+100</f>
        <v>2100</v>
      </c>
      <c r="G115" s="17">
        <f t="shared" ref="G115:P115" si="109">G109*10%+100</f>
        <v>2240</v>
      </c>
      <c r="H115" s="17">
        <f t="shared" si="109"/>
        <v>2389.8000000000002</v>
      </c>
      <c r="I115" s="17">
        <f t="shared" si="109"/>
        <v>2550.0860000000002</v>
      </c>
      <c r="J115" s="17">
        <f t="shared" si="109"/>
        <v>2721.59202</v>
      </c>
      <c r="K115" s="17">
        <f t="shared" si="109"/>
        <v>2905.1034614</v>
      </c>
      <c r="L115" s="17">
        <f t="shared" si="109"/>
        <v>3101.4607036980001</v>
      </c>
      <c r="M115" s="17">
        <f t="shared" si="109"/>
        <v>3311.56295295686</v>
      </c>
      <c r="N115" s="17">
        <f t="shared" si="109"/>
        <v>3536.3723596638406</v>
      </c>
      <c r="O115" s="17">
        <f t="shared" si="109"/>
        <v>3776.9184248403094</v>
      </c>
      <c r="P115" s="18">
        <f t="shared" si="109"/>
        <v>4034.3027145791311</v>
      </c>
    </row>
    <row r="116" spans="1:16" x14ac:dyDescent="0.25">
      <c r="A116" s="6"/>
      <c r="B116" s="19" t="s">
        <v>25</v>
      </c>
      <c r="C116" s="19"/>
      <c r="D116" s="19"/>
      <c r="E116" s="19"/>
      <c r="F116" s="20">
        <f>F114-F115</f>
        <v>45900</v>
      </c>
      <c r="G116" s="20">
        <f>G114-G115</f>
        <v>48630</v>
      </c>
      <c r="H116" s="20">
        <f t="shared" ref="H116:P116" si="110">H114-H115</f>
        <v>51551.099999999991</v>
      </c>
      <c r="I116" s="20">
        <f t="shared" si="110"/>
        <v>54676.676999999996</v>
      </c>
      <c r="J116" s="20">
        <f t="shared" si="110"/>
        <v>58021.044389999995</v>
      </c>
      <c r="K116" s="20">
        <f t="shared" si="110"/>
        <v>61599.517497299988</v>
      </c>
      <c r="L116" s="20">
        <f t="shared" si="110"/>
        <v>65428.483722110992</v>
      </c>
      <c r="M116" s="20">
        <f t="shared" si="110"/>
        <v>69525.477582658772</v>
      </c>
      <c r="N116" s="20">
        <f t="shared" si="110"/>
        <v>73909.261013444877</v>
      </c>
      <c r="O116" s="20">
        <f t="shared" si="110"/>
        <v>78599.909284386042</v>
      </c>
      <c r="P116" s="21">
        <f t="shared" si="110"/>
        <v>83618.902934293059</v>
      </c>
    </row>
    <row r="117" spans="1:16" x14ac:dyDescent="0.25">
      <c r="A117" s="6"/>
      <c r="B117" s="22" t="s">
        <v>26</v>
      </c>
      <c r="C117" s="22"/>
      <c r="D117" s="22"/>
      <c r="E117" s="22"/>
      <c r="F117" s="23">
        <f>F109*10%</f>
        <v>2000</v>
      </c>
      <c r="G117" s="23">
        <f t="shared" ref="G117:P117" si="111">G109*10%</f>
        <v>2140</v>
      </c>
      <c r="H117" s="23">
        <f t="shared" si="111"/>
        <v>2289.8000000000002</v>
      </c>
      <c r="I117" s="23">
        <f t="shared" si="111"/>
        <v>2450.0860000000002</v>
      </c>
      <c r="J117" s="23">
        <f t="shared" si="111"/>
        <v>2621.59202</v>
      </c>
      <c r="K117" s="23">
        <f t="shared" si="111"/>
        <v>2805.1034614</v>
      </c>
      <c r="L117" s="23">
        <f t="shared" si="111"/>
        <v>3001.4607036980001</v>
      </c>
      <c r="M117" s="23">
        <f t="shared" si="111"/>
        <v>3211.56295295686</v>
      </c>
      <c r="N117" s="23">
        <f t="shared" si="111"/>
        <v>3436.3723596638406</v>
      </c>
      <c r="O117" s="23">
        <f t="shared" si="111"/>
        <v>3676.9184248403094</v>
      </c>
      <c r="P117" s="24">
        <f t="shared" si="111"/>
        <v>3934.3027145791311</v>
      </c>
    </row>
    <row r="118" spans="1:16" x14ac:dyDescent="0.25">
      <c r="A118" s="6"/>
      <c r="B118" s="36" t="s">
        <v>39</v>
      </c>
      <c r="C118" s="36"/>
      <c r="D118" s="36"/>
      <c r="E118" s="36"/>
      <c r="F118" s="37">
        <f>F114+F117</f>
        <v>50000</v>
      </c>
      <c r="G118" s="37">
        <f t="shared" ref="G118:P118" si="112">G114+G117</f>
        <v>53010</v>
      </c>
      <c r="H118" s="37">
        <f t="shared" si="112"/>
        <v>56230.7</v>
      </c>
      <c r="I118" s="37">
        <f t="shared" si="112"/>
        <v>59676.849000000002</v>
      </c>
      <c r="J118" s="37">
        <f t="shared" si="112"/>
        <v>63364.228430000003</v>
      </c>
      <c r="K118" s="37">
        <f t="shared" si="112"/>
        <v>67309.724420099985</v>
      </c>
      <c r="L118" s="37">
        <f t="shared" si="112"/>
        <v>71531.405129506995</v>
      </c>
      <c r="M118" s="37">
        <f t="shared" si="112"/>
        <v>76048.60348857248</v>
      </c>
      <c r="N118" s="37">
        <f t="shared" si="112"/>
        <v>80882.005732772566</v>
      </c>
      <c r="O118" s="37">
        <f t="shared" si="112"/>
        <v>86053.746134066649</v>
      </c>
      <c r="P118" s="38">
        <f t="shared" si="112"/>
        <v>91587.508363451314</v>
      </c>
    </row>
    <row r="119" spans="1:16" x14ac:dyDescent="0.25">
      <c r="A119" s="6"/>
      <c r="B119" s="19" t="s">
        <v>40</v>
      </c>
      <c r="C119" s="19"/>
      <c r="D119" s="19"/>
      <c r="E119" s="19"/>
      <c r="F119" s="20">
        <v>4000</v>
      </c>
      <c r="G119" s="20">
        <v>4000</v>
      </c>
      <c r="H119" s="20">
        <v>4000</v>
      </c>
      <c r="I119" s="20">
        <v>4000</v>
      </c>
      <c r="J119" s="20">
        <v>4000</v>
      </c>
      <c r="K119" s="20">
        <v>4000</v>
      </c>
      <c r="L119" s="20">
        <v>4000</v>
      </c>
      <c r="M119" s="20">
        <v>4000</v>
      </c>
      <c r="N119" s="20">
        <v>4000</v>
      </c>
      <c r="O119" s="20">
        <v>4000</v>
      </c>
      <c r="P119" s="21">
        <v>4000</v>
      </c>
    </row>
    <row r="120" spans="1:16" x14ac:dyDescent="0.25">
      <c r="A120" s="6"/>
      <c r="B120" s="25" t="s">
        <v>27</v>
      </c>
      <c r="C120" s="25"/>
      <c r="D120" s="25"/>
      <c r="E120" s="25"/>
      <c r="F120" s="26">
        <f>60*26</f>
        <v>1560</v>
      </c>
      <c r="G120" s="26">
        <f t="shared" ref="G120:P120" si="113">60*26</f>
        <v>1560</v>
      </c>
      <c r="H120" s="26">
        <f t="shared" si="113"/>
        <v>1560</v>
      </c>
      <c r="I120" s="26">
        <f t="shared" si="113"/>
        <v>1560</v>
      </c>
      <c r="J120" s="26">
        <f t="shared" si="113"/>
        <v>1560</v>
      </c>
      <c r="K120" s="26">
        <f t="shared" si="113"/>
        <v>1560</v>
      </c>
      <c r="L120" s="26">
        <f t="shared" si="113"/>
        <v>1560</v>
      </c>
      <c r="M120" s="26">
        <f t="shared" si="113"/>
        <v>1560</v>
      </c>
      <c r="N120" s="26">
        <f t="shared" si="113"/>
        <v>1560</v>
      </c>
      <c r="O120" s="26">
        <f t="shared" si="113"/>
        <v>1560</v>
      </c>
      <c r="P120" s="27">
        <f t="shared" si="113"/>
        <v>1560</v>
      </c>
    </row>
    <row r="121" spans="1:16" x14ac:dyDescent="0.25">
      <c r="A121" s="28" t="s">
        <v>28</v>
      </c>
      <c r="B121" s="29"/>
      <c r="C121" s="29"/>
      <c r="D121" s="29"/>
      <c r="E121" s="29"/>
      <c r="F121" s="30">
        <f>F118+F119+F120</f>
        <v>55560</v>
      </c>
      <c r="G121" s="30">
        <f t="shared" ref="G121:P121" si="114">G118+G119+G120</f>
        <v>58570</v>
      </c>
      <c r="H121" s="30">
        <f t="shared" si="114"/>
        <v>61790.7</v>
      </c>
      <c r="I121" s="30">
        <f t="shared" si="114"/>
        <v>65236.849000000002</v>
      </c>
      <c r="J121" s="30">
        <f t="shared" si="114"/>
        <v>68924.228430000003</v>
      </c>
      <c r="K121" s="30">
        <f t="shared" si="114"/>
        <v>72869.724420099985</v>
      </c>
      <c r="L121" s="30">
        <f t="shared" si="114"/>
        <v>77091.405129506995</v>
      </c>
      <c r="M121" s="30">
        <f t="shared" si="114"/>
        <v>81608.60348857248</v>
      </c>
      <c r="N121" s="30">
        <f t="shared" si="114"/>
        <v>86442.005732772566</v>
      </c>
      <c r="O121" s="30">
        <f t="shared" si="114"/>
        <v>91613.746134066649</v>
      </c>
      <c r="P121" s="31">
        <f t="shared" si="114"/>
        <v>97147.508363451314</v>
      </c>
    </row>
    <row r="122" spans="1:16" x14ac:dyDescent="0.25">
      <c r="A122" s="6">
        <v>11</v>
      </c>
      <c r="B122" s="7" t="s">
        <v>49</v>
      </c>
      <c r="C122" s="8" t="s">
        <v>16</v>
      </c>
      <c r="D122" s="9">
        <v>7.0000000000000007E-2</v>
      </c>
      <c r="E122" s="10" t="s">
        <v>50</v>
      </c>
      <c r="F122" s="32">
        <v>17000</v>
      </c>
      <c r="G122" s="11">
        <f>F122*7%+F122</f>
        <v>18190</v>
      </c>
      <c r="H122" s="11">
        <f t="shared" ref="H122:P122" si="115">G122*7%+G122</f>
        <v>19463.3</v>
      </c>
      <c r="I122" s="11">
        <f t="shared" si="115"/>
        <v>20825.731</v>
      </c>
      <c r="J122" s="11">
        <f t="shared" si="115"/>
        <v>22283.532169999999</v>
      </c>
      <c r="K122" s="11">
        <f t="shared" si="115"/>
        <v>23843.379421899997</v>
      </c>
      <c r="L122" s="11">
        <f t="shared" si="115"/>
        <v>25512.415981432998</v>
      </c>
      <c r="M122" s="11">
        <f t="shared" si="115"/>
        <v>27298.285100133307</v>
      </c>
      <c r="N122" s="11">
        <f t="shared" si="115"/>
        <v>29209.16505714264</v>
      </c>
      <c r="O122" s="11">
        <f t="shared" si="115"/>
        <v>31253.806611142623</v>
      </c>
      <c r="P122" s="12">
        <f t="shared" si="115"/>
        <v>33441.573073922606</v>
      </c>
    </row>
    <row r="123" spans="1:16" x14ac:dyDescent="0.25">
      <c r="A123" s="6"/>
      <c r="B123" s="7"/>
      <c r="C123" s="8" t="s">
        <v>18</v>
      </c>
      <c r="D123" s="9">
        <v>0.7</v>
      </c>
      <c r="E123" s="10"/>
      <c r="F123" s="32">
        <f>F122*70%</f>
        <v>11900</v>
      </c>
      <c r="G123" s="32">
        <f t="shared" ref="G123:P123" si="116">G122*70%</f>
        <v>12733</v>
      </c>
      <c r="H123" s="32">
        <f t="shared" si="116"/>
        <v>13624.31</v>
      </c>
      <c r="I123" s="32">
        <f t="shared" si="116"/>
        <v>14578.011699999999</v>
      </c>
      <c r="J123" s="32">
        <f t="shared" si="116"/>
        <v>15598.472518999997</v>
      </c>
      <c r="K123" s="32">
        <f t="shared" si="116"/>
        <v>16690.365595329997</v>
      </c>
      <c r="L123" s="32">
        <f t="shared" si="116"/>
        <v>17858.691187003096</v>
      </c>
      <c r="M123" s="32">
        <f t="shared" si="116"/>
        <v>19108.799570093313</v>
      </c>
      <c r="N123" s="32">
        <f t="shared" si="116"/>
        <v>20446.415539999845</v>
      </c>
      <c r="O123" s="32">
        <f t="shared" si="116"/>
        <v>21877.664627799833</v>
      </c>
      <c r="P123" s="33">
        <f t="shared" si="116"/>
        <v>23409.101151745821</v>
      </c>
    </row>
    <row r="124" spans="1:16" x14ac:dyDescent="0.25">
      <c r="A124" s="6"/>
      <c r="B124" s="7"/>
      <c r="C124" s="8" t="s">
        <v>19</v>
      </c>
      <c r="D124" s="8" t="s">
        <v>20</v>
      </c>
      <c r="E124" s="10"/>
      <c r="F124" s="11">
        <v>3000</v>
      </c>
      <c r="G124" s="11">
        <f>F124</f>
        <v>3000</v>
      </c>
      <c r="H124" s="11">
        <f t="shared" ref="H124:P124" si="117">G124</f>
        <v>3000</v>
      </c>
      <c r="I124" s="11">
        <f t="shared" si="117"/>
        <v>3000</v>
      </c>
      <c r="J124" s="11">
        <f t="shared" si="117"/>
        <v>3000</v>
      </c>
      <c r="K124" s="11">
        <f t="shared" si="117"/>
        <v>3000</v>
      </c>
      <c r="L124" s="11">
        <f t="shared" si="117"/>
        <v>3000</v>
      </c>
      <c r="M124" s="11">
        <f t="shared" si="117"/>
        <v>3000</v>
      </c>
      <c r="N124" s="11">
        <f t="shared" si="117"/>
        <v>3000</v>
      </c>
      <c r="O124" s="11">
        <f t="shared" si="117"/>
        <v>3000</v>
      </c>
      <c r="P124" s="12">
        <f t="shared" si="117"/>
        <v>3000</v>
      </c>
    </row>
    <row r="125" spans="1:16" x14ac:dyDescent="0.25">
      <c r="A125" s="6"/>
      <c r="B125" s="7"/>
      <c r="C125" s="8" t="s">
        <v>21</v>
      </c>
      <c r="D125" s="9">
        <v>0.35</v>
      </c>
      <c r="E125" s="10"/>
      <c r="F125" s="32">
        <f>ROUND(F122*35%,0)</f>
        <v>5950</v>
      </c>
      <c r="G125" s="32">
        <f t="shared" ref="G125:P125" si="118">ROUND(G122*35%,0)</f>
        <v>6367</v>
      </c>
      <c r="H125" s="32">
        <f t="shared" si="118"/>
        <v>6812</v>
      </c>
      <c r="I125" s="32">
        <f t="shared" si="118"/>
        <v>7289</v>
      </c>
      <c r="J125" s="32">
        <f t="shared" si="118"/>
        <v>7799</v>
      </c>
      <c r="K125" s="32">
        <f t="shared" si="118"/>
        <v>8345</v>
      </c>
      <c r="L125" s="32">
        <f t="shared" si="118"/>
        <v>8929</v>
      </c>
      <c r="M125" s="32">
        <f t="shared" si="118"/>
        <v>9554</v>
      </c>
      <c r="N125" s="32">
        <f t="shared" si="118"/>
        <v>10223</v>
      </c>
      <c r="O125" s="32">
        <f t="shared" si="118"/>
        <v>10939</v>
      </c>
      <c r="P125" s="33">
        <f t="shared" si="118"/>
        <v>11705</v>
      </c>
    </row>
    <row r="126" spans="1:16" x14ac:dyDescent="0.25">
      <c r="A126" s="6"/>
      <c r="B126" s="7"/>
      <c r="C126" s="8" t="s">
        <v>22</v>
      </c>
      <c r="D126" s="8" t="s">
        <v>20</v>
      </c>
      <c r="E126" s="10"/>
      <c r="F126" s="11">
        <v>4000</v>
      </c>
      <c r="G126" s="11">
        <f>F126</f>
        <v>4000</v>
      </c>
      <c r="H126" s="11">
        <f t="shared" ref="H126:P126" si="119">G126</f>
        <v>4000</v>
      </c>
      <c r="I126" s="11">
        <f t="shared" si="119"/>
        <v>4000</v>
      </c>
      <c r="J126" s="11">
        <f t="shared" si="119"/>
        <v>4000</v>
      </c>
      <c r="K126" s="11">
        <f t="shared" si="119"/>
        <v>4000</v>
      </c>
      <c r="L126" s="11">
        <f t="shared" si="119"/>
        <v>4000</v>
      </c>
      <c r="M126" s="11">
        <f t="shared" si="119"/>
        <v>4000</v>
      </c>
      <c r="N126" s="11">
        <f t="shared" si="119"/>
        <v>4000</v>
      </c>
      <c r="O126" s="11">
        <f t="shared" si="119"/>
        <v>4000</v>
      </c>
      <c r="P126" s="12">
        <f t="shared" si="119"/>
        <v>4000</v>
      </c>
    </row>
    <row r="127" spans="1:16" x14ac:dyDescent="0.25">
      <c r="A127" s="6"/>
      <c r="B127" s="13" t="s">
        <v>23</v>
      </c>
      <c r="C127" s="13"/>
      <c r="D127" s="13"/>
      <c r="E127" s="13"/>
      <c r="F127" s="34">
        <f>SUM(F122:F126)</f>
        <v>41850</v>
      </c>
      <c r="G127" s="34">
        <f t="shared" ref="G127:P127" si="120">SUM(G122:G126)</f>
        <v>44290</v>
      </c>
      <c r="H127" s="34">
        <f t="shared" si="120"/>
        <v>46899.61</v>
      </c>
      <c r="I127" s="34">
        <f t="shared" si="120"/>
        <v>49692.742700000003</v>
      </c>
      <c r="J127" s="34">
        <f t="shared" si="120"/>
        <v>52681.004688999994</v>
      </c>
      <c r="K127" s="34">
        <f t="shared" si="120"/>
        <v>55878.745017229994</v>
      </c>
      <c r="L127" s="34">
        <f t="shared" si="120"/>
        <v>59300.107168436094</v>
      </c>
      <c r="M127" s="34">
        <f t="shared" si="120"/>
        <v>62961.084670226621</v>
      </c>
      <c r="N127" s="34">
        <f t="shared" si="120"/>
        <v>66878.580597142485</v>
      </c>
      <c r="O127" s="34">
        <f t="shared" si="120"/>
        <v>71070.471238942453</v>
      </c>
      <c r="P127" s="35">
        <f t="shared" si="120"/>
        <v>75555.674225668423</v>
      </c>
    </row>
    <row r="128" spans="1:16" x14ac:dyDescent="0.25">
      <c r="A128" s="6"/>
      <c r="B128" s="16" t="s">
        <v>24</v>
      </c>
      <c r="C128" s="16"/>
      <c r="D128" s="16"/>
      <c r="E128" s="16"/>
      <c r="F128" s="17">
        <f>F122*10%+100</f>
        <v>1800</v>
      </c>
      <c r="G128" s="17">
        <f t="shared" ref="G128:P128" si="121">G122*10%+100</f>
        <v>1919</v>
      </c>
      <c r="H128" s="17">
        <f t="shared" si="121"/>
        <v>2046.33</v>
      </c>
      <c r="I128" s="17">
        <f t="shared" si="121"/>
        <v>2182.5731000000001</v>
      </c>
      <c r="J128" s="17">
        <f t="shared" si="121"/>
        <v>2328.3532169999999</v>
      </c>
      <c r="K128" s="17">
        <f t="shared" si="121"/>
        <v>2484.3379421899999</v>
      </c>
      <c r="L128" s="17">
        <f t="shared" si="121"/>
        <v>2651.2415981433001</v>
      </c>
      <c r="M128" s="17">
        <f t="shared" si="121"/>
        <v>2829.8285100133307</v>
      </c>
      <c r="N128" s="17">
        <f t="shared" si="121"/>
        <v>3020.9165057142641</v>
      </c>
      <c r="O128" s="17">
        <f t="shared" si="121"/>
        <v>3225.3806611142627</v>
      </c>
      <c r="P128" s="18">
        <f t="shared" si="121"/>
        <v>3444.1573073922609</v>
      </c>
    </row>
    <row r="129" spans="1:16" x14ac:dyDescent="0.25">
      <c r="A129" s="6"/>
      <c r="B129" s="19" t="s">
        <v>25</v>
      </c>
      <c r="C129" s="19"/>
      <c r="D129" s="19"/>
      <c r="E129" s="19"/>
      <c r="F129" s="20">
        <f>F127-F128</f>
        <v>40050</v>
      </c>
      <c r="G129" s="20">
        <f>G127-G128</f>
        <v>42371</v>
      </c>
      <c r="H129" s="20">
        <f t="shared" ref="H129:P129" si="122">H127-H128</f>
        <v>44853.279999999999</v>
      </c>
      <c r="I129" s="20">
        <f t="shared" si="122"/>
        <v>47510.169600000001</v>
      </c>
      <c r="J129" s="20">
        <f t="shared" si="122"/>
        <v>50352.651471999998</v>
      </c>
      <c r="K129" s="20">
        <f t="shared" si="122"/>
        <v>53394.407075039991</v>
      </c>
      <c r="L129" s="20">
        <f t="shared" si="122"/>
        <v>56648.865570292794</v>
      </c>
      <c r="M129" s="20">
        <f t="shared" si="122"/>
        <v>60131.256160213292</v>
      </c>
      <c r="N129" s="20">
        <f t="shared" si="122"/>
        <v>63857.664091428218</v>
      </c>
      <c r="O129" s="20">
        <f t="shared" si="122"/>
        <v>67845.090577828189</v>
      </c>
      <c r="P129" s="21">
        <f t="shared" si="122"/>
        <v>72111.51691827616</v>
      </c>
    </row>
    <row r="130" spans="1:16" x14ac:dyDescent="0.25">
      <c r="A130" s="6"/>
      <c r="B130" s="22" t="s">
        <v>26</v>
      </c>
      <c r="C130" s="22"/>
      <c r="D130" s="22"/>
      <c r="E130" s="22"/>
      <c r="F130" s="23">
        <f>F122*10%</f>
        <v>1700</v>
      </c>
      <c r="G130" s="23">
        <f t="shared" ref="G130:P130" si="123">G122*10%</f>
        <v>1819</v>
      </c>
      <c r="H130" s="23">
        <f t="shared" si="123"/>
        <v>1946.33</v>
      </c>
      <c r="I130" s="23">
        <f t="shared" si="123"/>
        <v>2082.5731000000001</v>
      </c>
      <c r="J130" s="23">
        <f t="shared" si="123"/>
        <v>2228.3532169999999</v>
      </c>
      <c r="K130" s="23">
        <f t="shared" si="123"/>
        <v>2384.3379421899999</v>
      </c>
      <c r="L130" s="23">
        <f t="shared" si="123"/>
        <v>2551.2415981433001</v>
      </c>
      <c r="M130" s="23">
        <f t="shared" si="123"/>
        <v>2729.8285100133307</v>
      </c>
      <c r="N130" s="23">
        <f t="shared" si="123"/>
        <v>2920.9165057142641</v>
      </c>
      <c r="O130" s="23">
        <f t="shared" si="123"/>
        <v>3125.3806611142627</v>
      </c>
      <c r="P130" s="24">
        <f t="shared" si="123"/>
        <v>3344.1573073922609</v>
      </c>
    </row>
    <row r="131" spans="1:16" x14ac:dyDescent="0.25">
      <c r="A131" s="6"/>
      <c r="B131" s="36" t="s">
        <v>39</v>
      </c>
      <c r="C131" s="36"/>
      <c r="D131" s="36"/>
      <c r="E131" s="36"/>
      <c r="F131" s="37">
        <f>F127+F130</f>
        <v>43550</v>
      </c>
      <c r="G131" s="37">
        <f t="shared" ref="G131:P131" si="124">G127+G130</f>
        <v>46109</v>
      </c>
      <c r="H131" s="37">
        <f t="shared" si="124"/>
        <v>48845.94</v>
      </c>
      <c r="I131" s="37">
        <f t="shared" si="124"/>
        <v>51775.315800000004</v>
      </c>
      <c r="J131" s="37">
        <f t="shared" si="124"/>
        <v>54909.35790599999</v>
      </c>
      <c r="K131" s="37">
        <f t="shared" si="124"/>
        <v>58263.082959419997</v>
      </c>
      <c r="L131" s="37">
        <f t="shared" si="124"/>
        <v>61851.348766579395</v>
      </c>
      <c r="M131" s="37">
        <f t="shared" si="124"/>
        <v>65690.91318023995</v>
      </c>
      <c r="N131" s="37">
        <f t="shared" si="124"/>
        <v>69799.497102856752</v>
      </c>
      <c r="O131" s="37">
        <f t="shared" si="124"/>
        <v>74195.851900056718</v>
      </c>
      <c r="P131" s="38">
        <f t="shared" si="124"/>
        <v>78899.831533060686</v>
      </c>
    </row>
    <row r="132" spans="1:16" x14ac:dyDescent="0.25">
      <c r="A132" s="6"/>
      <c r="B132" s="19" t="s">
        <v>40</v>
      </c>
      <c r="C132" s="19"/>
      <c r="D132" s="19"/>
      <c r="E132" s="19"/>
      <c r="F132" s="20">
        <v>4000</v>
      </c>
      <c r="G132" s="20">
        <v>4000</v>
      </c>
      <c r="H132" s="20">
        <v>4000</v>
      </c>
      <c r="I132" s="20">
        <v>4000</v>
      </c>
      <c r="J132" s="20">
        <v>4000</v>
      </c>
      <c r="K132" s="20">
        <v>4000</v>
      </c>
      <c r="L132" s="20">
        <v>4000</v>
      </c>
      <c r="M132" s="20">
        <v>4000</v>
      </c>
      <c r="N132" s="20">
        <v>4000</v>
      </c>
      <c r="O132" s="20">
        <v>4000</v>
      </c>
      <c r="P132" s="21">
        <v>4000</v>
      </c>
    </row>
    <row r="133" spans="1:16" x14ac:dyDescent="0.25">
      <c r="A133" s="6"/>
      <c r="B133" s="25" t="s">
        <v>27</v>
      </c>
      <c r="C133" s="25"/>
      <c r="D133" s="25"/>
      <c r="E133" s="25"/>
      <c r="F133" s="26">
        <f>60*26</f>
        <v>1560</v>
      </c>
      <c r="G133" s="26">
        <f t="shared" ref="G133:P133" si="125">60*26</f>
        <v>1560</v>
      </c>
      <c r="H133" s="26">
        <f t="shared" si="125"/>
        <v>1560</v>
      </c>
      <c r="I133" s="26">
        <f t="shared" si="125"/>
        <v>1560</v>
      </c>
      <c r="J133" s="26">
        <f t="shared" si="125"/>
        <v>1560</v>
      </c>
      <c r="K133" s="26">
        <f t="shared" si="125"/>
        <v>1560</v>
      </c>
      <c r="L133" s="26">
        <f t="shared" si="125"/>
        <v>1560</v>
      </c>
      <c r="M133" s="26">
        <f t="shared" si="125"/>
        <v>1560</v>
      </c>
      <c r="N133" s="26">
        <f t="shared" si="125"/>
        <v>1560</v>
      </c>
      <c r="O133" s="26">
        <f t="shared" si="125"/>
        <v>1560</v>
      </c>
      <c r="P133" s="27">
        <f t="shared" si="125"/>
        <v>1560</v>
      </c>
    </row>
    <row r="134" spans="1:16" x14ac:dyDescent="0.25">
      <c r="A134" s="28" t="s">
        <v>28</v>
      </c>
      <c r="B134" s="29"/>
      <c r="C134" s="29"/>
      <c r="D134" s="29"/>
      <c r="E134" s="29"/>
      <c r="F134" s="30">
        <f>F131+F132+F133</f>
        <v>49110</v>
      </c>
      <c r="G134" s="30">
        <f t="shared" ref="G134:P134" si="126">G131+G132+G133</f>
        <v>51669</v>
      </c>
      <c r="H134" s="30">
        <f t="shared" si="126"/>
        <v>54405.94</v>
      </c>
      <c r="I134" s="30">
        <f t="shared" si="126"/>
        <v>57335.315800000004</v>
      </c>
      <c r="J134" s="30">
        <f t="shared" si="126"/>
        <v>60469.35790599999</v>
      </c>
      <c r="K134" s="30">
        <f t="shared" si="126"/>
        <v>63823.082959419997</v>
      </c>
      <c r="L134" s="30">
        <f t="shared" si="126"/>
        <v>67411.348766579395</v>
      </c>
      <c r="M134" s="30">
        <f t="shared" si="126"/>
        <v>71250.91318023995</v>
      </c>
      <c r="N134" s="30">
        <f t="shared" si="126"/>
        <v>75359.497102856752</v>
      </c>
      <c r="O134" s="30">
        <f t="shared" si="126"/>
        <v>79755.851900056718</v>
      </c>
      <c r="P134" s="31">
        <f t="shared" si="126"/>
        <v>84459.831533060686</v>
      </c>
    </row>
    <row r="135" spans="1:16" x14ac:dyDescent="0.25">
      <c r="A135" s="6">
        <v>12</v>
      </c>
      <c r="B135" s="7" t="s">
        <v>51</v>
      </c>
      <c r="C135" s="8" t="s">
        <v>16</v>
      </c>
      <c r="D135" s="9">
        <v>7.0000000000000007E-2</v>
      </c>
      <c r="E135" s="10" t="s">
        <v>52</v>
      </c>
      <c r="F135" s="32">
        <v>15100</v>
      </c>
      <c r="G135" s="11">
        <f>F135*7%+F135</f>
        <v>16157</v>
      </c>
      <c r="H135" s="11">
        <f t="shared" ref="H135:P135" si="127">G135*7%+G135</f>
        <v>17287.990000000002</v>
      </c>
      <c r="I135" s="11">
        <f t="shared" si="127"/>
        <v>18498.149300000001</v>
      </c>
      <c r="J135" s="11">
        <f t="shared" si="127"/>
        <v>19793.019751</v>
      </c>
      <c r="K135" s="11">
        <f t="shared" si="127"/>
        <v>21178.531133569999</v>
      </c>
      <c r="L135" s="11">
        <f t="shared" si="127"/>
        <v>22661.028312919898</v>
      </c>
      <c r="M135" s="11">
        <f t="shared" si="127"/>
        <v>24247.30029482429</v>
      </c>
      <c r="N135" s="11">
        <f t="shared" si="127"/>
        <v>25944.611315461989</v>
      </c>
      <c r="O135" s="11">
        <f t="shared" si="127"/>
        <v>27760.734107544329</v>
      </c>
      <c r="P135" s="12">
        <f t="shared" si="127"/>
        <v>29703.985495072433</v>
      </c>
    </row>
    <row r="136" spans="1:16" x14ac:dyDescent="0.25">
      <c r="A136" s="6"/>
      <c r="B136" s="7"/>
      <c r="C136" s="8" t="s">
        <v>18</v>
      </c>
      <c r="D136" s="9">
        <v>0.7</v>
      </c>
      <c r="E136" s="10"/>
      <c r="F136" s="32">
        <f>F135*70%</f>
        <v>10570</v>
      </c>
      <c r="G136" s="32">
        <f t="shared" ref="G136:P136" si="128">G135*70%</f>
        <v>11309.9</v>
      </c>
      <c r="H136" s="32">
        <f t="shared" si="128"/>
        <v>12101.593000000001</v>
      </c>
      <c r="I136" s="32">
        <f t="shared" si="128"/>
        <v>12948.70451</v>
      </c>
      <c r="J136" s="32">
        <f t="shared" si="128"/>
        <v>13855.113825699998</v>
      </c>
      <c r="K136" s="32">
        <f t="shared" si="128"/>
        <v>14824.971793498999</v>
      </c>
      <c r="L136" s="32">
        <f t="shared" si="128"/>
        <v>15862.719819043927</v>
      </c>
      <c r="M136" s="32">
        <f t="shared" si="128"/>
        <v>16973.110206377001</v>
      </c>
      <c r="N136" s="32">
        <f t="shared" si="128"/>
        <v>18161.227920823392</v>
      </c>
      <c r="O136" s="32">
        <f t="shared" si="128"/>
        <v>19432.513875281031</v>
      </c>
      <c r="P136" s="33">
        <f t="shared" si="128"/>
        <v>20792.789846550702</v>
      </c>
    </row>
    <row r="137" spans="1:16" x14ac:dyDescent="0.25">
      <c r="A137" s="6"/>
      <c r="B137" s="7"/>
      <c r="C137" s="8" t="s">
        <v>19</v>
      </c>
      <c r="D137" s="8" t="s">
        <v>20</v>
      </c>
      <c r="E137" s="10"/>
      <c r="F137" s="11">
        <v>3000</v>
      </c>
      <c r="G137" s="11">
        <f>F137</f>
        <v>3000</v>
      </c>
      <c r="H137" s="11">
        <f t="shared" ref="H137:P137" si="129">G137</f>
        <v>3000</v>
      </c>
      <c r="I137" s="11">
        <f t="shared" si="129"/>
        <v>3000</v>
      </c>
      <c r="J137" s="11">
        <f t="shared" si="129"/>
        <v>3000</v>
      </c>
      <c r="K137" s="11">
        <f t="shared" si="129"/>
        <v>3000</v>
      </c>
      <c r="L137" s="11">
        <f t="shared" si="129"/>
        <v>3000</v>
      </c>
      <c r="M137" s="11">
        <f t="shared" si="129"/>
        <v>3000</v>
      </c>
      <c r="N137" s="11">
        <f t="shared" si="129"/>
        <v>3000</v>
      </c>
      <c r="O137" s="11">
        <f t="shared" si="129"/>
        <v>3000</v>
      </c>
      <c r="P137" s="12">
        <f t="shared" si="129"/>
        <v>3000</v>
      </c>
    </row>
    <row r="138" spans="1:16" x14ac:dyDescent="0.25">
      <c r="A138" s="6"/>
      <c r="B138" s="7"/>
      <c r="C138" s="8" t="s">
        <v>21</v>
      </c>
      <c r="D138" s="9">
        <v>0.35</v>
      </c>
      <c r="E138" s="10"/>
      <c r="F138" s="32">
        <f>F135*35%</f>
        <v>5285</v>
      </c>
      <c r="G138" s="32">
        <f t="shared" ref="G138:P138" si="130">G135*35%</f>
        <v>5654.95</v>
      </c>
      <c r="H138" s="32">
        <f t="shared" si="130"/>
        <v>6050.7965000000004</v>
      </c>
      <c r="I138" s="32">
        <f t="shared" si="130"/>
        <v>6474.3522549999998</v>
      </c>
      <c r="J138" s="32">
        <f t="shared" si="130"/>
        <v>6927.5569128499992</v>
      </c>
      <c r="K138" s="32">
        <f t="shared" si="130"/>
        <v>7412.4858967494993</v>
      </c>
      <c r="L138" s="32">
        <f t="shared" si="130"/>
        <v>7931.3599095219633</v>
      </c>
      <c r="M138" s="32">
        <f t="shared" si="130"/>
        <v>8486.5551031885007</v>
      </c>
      <c r="N138" s="32">
        <f t="shared" si="130"/>
        <v>9080.6139604116961</v>
      </c>
      <c r="O138" s="32">
        <f t="shared" si="130"/>
        <v>9716.2569376405154</v>
      </c>
      <c r="P138" s="33">
        <f t="shared" si="130"/>
        <v>10396.394923275351</v>
      </c>
    </row>
    <row r="139" spans="1:16" x14ac:dyDescent="0.25">
      <c r="A139" s="6"/>
      <c r="B139" s="7"/>
      <c r="C139" s="8" t="s">
        <v>22</v>
      </c>
      <c r="D139" s="8" t="s">
        <v>20</v>
      </c>
      <c r="E139" s="10"/>
      <c r="F139" s="11">
        <v>4000</v>
      </c>
      <c r="G139" s="11">
        <f>F139</f>
        <v>4000</v>
      </c>
      <c r="H139" s="11">
        <f t="shared" ref="H139:P139" si="131">G139</f>
        <v>4000</v>
      </c>
      <c r="I139" s="11">
        <f t="shared" si="131"/>
        <v>4000</v>
      </c>
      <c r="J139" s="11">
        <f t="shared" si="131"/>
        <v>4000</v>
      </c>
      <c r="K139" s="11">
        <f t="shared" si="131"/>
        <v>4000</v>
      </c>
      <c r="L139" s="11">
        <f t="shared" si="131"/>
        <v>4000</v>
      </c>
      <c r="M139" s="11">
        <f t="shared" si="131"/>
        <v>4000</v>
      </c>
      <c r="N139" s="11">
        <f t="shared" si="131"/>
        <v>4000</v>
      </c>
      <c r="O139" s="11">
        <f t="shared" si="131"/>
        <v>4000</v>
      </c>
      <c r="P139" s="12">
        <f t="shared" si="131"/>
        <v>4000</v>
      </c>
    </row>
    <row r="140" spans="1:16" x14ac:dyDescent="0.25">
      <c r="A140" s="6"/>
      <c r="B140" s="13" t="s">
        <v>23</v>
      </c>
      <c r="C140" s="13"/>
      <c r="D140" s="13"/>
      <c r="E140" s="13"/>
      <c r="F140" s="34">
        <f>SUM(F135:F139)</f>
        <v>37955</v>
      </c>
      <c r="G140" s="34">
        <f t="shared" ref="G140:P140" si="132">SUM(G135:G139)</f>
        <v>40121.85</v>
      </c>
      <c r="H140" s="34">
        <f t="shared" si="132"/>
        <v>42440.379500000003</v>
      </c>
      <c r="I140" s="34">
        <f t="shared" si="132"/>
        <v>44921.206064999998</v>
      </c>
      <c r="J140" s="34">
        <f t="shared" si="132"/>
        <v>47575.690489549997</v>
      </c>
      <c r="K140" s="34">
        <f t="shared" si="132"/>
        <v>50415.988823818501</v>
      </c>
      <c r="L140" s="34">
        <f t="shared" si="132"/>
        <v>53455.108041485786</v>
      </c>
      <c r="M140" s="34">
        <f t="shared" si="132"/>
        <v>56706.965604389785</v>
      </c>
      <c r="N140" s="34">
        <f t="shared" si="132"/>
        <v>60186.453196697075</v>
      </c>
      <c r="O140" s="34">
        <f t="shared" si="132"/>
        <v>63909.504920465872</v>
      </c>
      <c r="P140" s="35">
        <f t="shared" si="132"/>
        <v>67893.170264898479</v>
      </c>
    </row>
    <row r="141" spans="1:16" x14ac:dyDescent="0.25">
      <c r="A141" s="6"/>
      <c r="B141" s="16" t="s">
        <v>24</v>
      </c>
      <c r="C141" s="16"/>
      <c r="D141" s="16"/>
      <c r="E141" s="16"/>
      <c r="F141" s="17">
        <f>F135*10%+100</f>
        <v>1610</v>
      </c>
      <c r="G141" s="17">
        <f t="shared" ref="G141:P141" si="133">G135*10%+100</f>
        <v>1715.7</v>
      </c>
      <c r="H141" s="17">
        <f t="shared" si="133"/>
        <v>1828.7990000000002</v>
      </c>
      <c r="I141" s="17">
        <f t="shared" si="133"/>
        <v>1949.8149300000002</v>
      </c>
      <c r="J141" s="17">
        <f t="shared" si="133"/>
        <v>2079.3019751000002</v>
      </c>
      <c r="K141" s="17">
        <f t="shared" si="133"/>
        <v>2217.853113357</v>
      </c>
      <c r="L141" s="17">
        <f t="shared" si="133"/>
        <v>2366.1028312919898</v>
      </c>
      <c r="M141" s="17">
        <f t="shared" si="133"/>
        <v>2524.730029482429</v>
      </c>
      <c r="N141" s="17">
        <f t="shared" si="133"/>
        <v>2694.4611315461989</v>
      </c>
      <c r="O141" s="17">
        <f t="shared" si="133"/>
        <v>2876.0734107544331</v>
      </c>
      <c r="P141" s="18">
        <f t="shared" si="133"/>
        <v>3070.3985495072434</v>
      </c>
    </row>
    <row r="142" spans="1:16" x14ac:dyDescent="0.25">
      <c r="A142" s="6"/>
      <c r="B142" s="19" t="s">
        <v>25</v>
      </c>
      <c r="C142" s="19"/>
      <c r="D142" s="19"/>
      <c r="E142" s="19"/>
      <c r="F142" s="20">
        <f>F140-F141</f>
        <v>36345</v>
      </c>
      <c r="G142" s="20">
        <f>G140-G141</f>
        <v>38406.15</v>
      </c>
      <c r="H142" s="20">
        <f t="shared" ref="H142:P142" si="134">H140-H141</f>
        <v>40611.580500000004</v>
      </c>
      <c r="I142" s="20">
        <f t="shared" si="134"/>
        <v>42971.391134999998</v>
      </c>
      <c r="J142" s="20">
        <f t="shared" si="134"/>
        <v>45496.388514449995</v>
      </c>
      <c r="K142" s="20">
        <f t="shared" si="134"/>
        <v>48198.135710461502</v>
      </c>
      <c r="L142" s="20">
        <f t="shared" si="134"/>
        <v>51089.005210193798</v>
      </c>
      <c r="M142" s="20">
        <f t="shared" si="134"/>
        <v>54182.235574907354</v>
      </c>
      <c r="N142" s="20">
        <f t="shared" si="134"/>
        <v>57491.992065150873</v>
      </c>
      <c r="O142" s="20">
        <f t="shared" si="134"/>
        <v>61033.431509711438</v>
      </c>
      <c r="P142" s="21">
        <f t="shared" si="134"/>
        <v>64822.771715391238</v>
      </c>
    </row>
    <row r="143" spans="1:16" x14ac:dyDescent="0.25">
      <c r="A143" s="6"/>
      <c r="B143" s="22" t="s">
        <v>26</v>
      </c>
      <c r="C143" s="22"/>
      <c r="D143" s="22"/>
      <c r="E143" s="22"/>
      <c r="F143" s="23">
        <f>F135*10%</f>
        <v>1510</v>
      </c>
      <c r="G143" s="23">
        <f t="shared" ref="G143:P143" si="135">G135*10%</f>
        <v>1615.7</v>
      </c>
      <c r="H143" s="23">
        <f t="shared" si="135"/>
        <v>1728.7990000000002</v>
      </c>
      <c r="I143" s="23">
        <f t="shared" si="135"/>
        <v>1849.8149300000002</v>
      </c>
      <c r="J143" s="23">
        <f t="shared" si="135"/>
        <v>1979.3019751000002</v>
      </c>
      <c r="K143" s="23">
        <f t="shared" si="135"/>
        <v>2117.853113357</v>
      </c>
      <c r="L143" s="23">
        <f t="shared" si="135"/>
        <v>2266.1028312919898</v>
      </c>
      <c r="M143" s="23">
        <f t="shared" si="135"/>
        <v>2424.730029482429</v>
      </c>
      <c r="N143" s="23">
        <f t="shared" si="135"/>
        <v>2594.4611315461989</v>
      </c>
      <c r="O143" s="23">
        <f t="shared" si="135"/>
        <v>2776.0734107544331</v>
      </c>
      <c r="P143" s="24">
        <f t="shared" si="135"/>
        <v>2970.3985495072434</v>
      </c>
    </row>
    <row r="144" spans="1:16" x14ac:dyDescent="0.25">
      <c r="A144" s="6"/>
      <c r="B144" s="36" t="s">
        <v>39</v>
      </c>
      <c r="C144" s="36"/>
      <c r="D144" s="36"/>
      <c r="E144" s="36"/>
      <c r="F144" s="37">
        <f>F140+F143</f>
        <v>39465</v>
      </c>
      <c r="G144" s="37">
        <f t="shared" ref="G144:P144" si="136">G140+G143</f>
        <v>41737.549999999996</v>
      </c>
      <c r="H144" s="37">
        <f t="shared" si="136"/>
        <v>44169.178500000002</v>
      </c>
      <c r="I144" s="37">
        <f t="shared" si="136"/>
        <v>46771.020994999999</v>
      </c>
      <c r="J144" s="37">
        <f t="shared" si="136"/>
        <v>49554.99246465</v>
      </c>
      <c r="K144" s="37">
        <f t="shared" si="136"/>
        <v>52533.841937175501</v>
      </c>
      <c r="L144" s="37">
        <f t="shared" si="136"/>
        <v>55721.210872777774</v>
      </c>
      <c r="M144" s="37">
        <f t="shared" si="136"/>
        <v>59131.695633872216</v>
      </c>
      <c r="N144" s="37">
        <f t="shared" si="136"/>
        <v>62780.914328243278</v>
      </c>
      <c r="O144" s="37">
        <f t="shared" si="136"/>
        <v>66685.578331220298</v>
      </c>
      <c r="P144" s="38">
        <f t="shared" si="136"/>
        <v>70863.56881440572</v>
      </c>
    </row>
    <row r="145" spans="1:16" x14ac:dyDescent="0.25">
      <c r="A145" s="6"/>
      <c r="B145" s="19" t="s">
        <v>40</v>
      </c>
      <c r="C145" s="19"/>
      <c r="D145" s="19"/>
      <c r="E145" s="19"/>
      <c r="F145" s="20">
        <v>2000</v>
      </c>
      <c r="G145" s="20">
        <v>2000</v>
      </c>
      <c r="H145" s="20">
        <v>2000</v>
      </c>
      <c r="I145" s="20">
        <v>2000</v>
      </c>
      <c r="J145" s="20">
        <v>2000</v>
      </c>
      <c r="K145" s="20">
        <v>2000</v>
      </c>
      <c r="L145" s="20">
        <v>2000</v>
      </c>
      <c r="M145" s="20">
        <v>2000</v>
      </c>
      <c r="N145" s="20">
        <v>2000</v>
      </c>
      <c r="O145" s="20">
        <v>2000</v>
      </c>
      <c r="P145" s="21">
        <v>2000</v>
      </c>
    </row>
    <row r="146" spans="1:16" x14ac:dyDescent="0.25">
      <c r="A146" s="6"/>
      <c r="B146" s="25" t="s">
        <v>27</v>
      </c>
      <c r="C146" s="25"/>
      <c r="D146" s="25"/>
      <c r="E146" s="25"/>
      <c r="F146" s="26">
        <f>60*26</f>
        <v>1560</v>
      </c>
      <c r="G146" s="26">
        <f t="shared" ref="G146:P146" si="137">60*26</f>
        <v>1560</v>
      </c>
      <c r="H146" s="26">
        <f t="shared" si="137"/>
        <v>1560</v>
      </c>
      <c r="I146" s="26">
        <f t="shared" si="137"/>
        <v>1560</v>
      </c>
      <c r="J146" s="26">
        <f t="shared" si="137"/>
        <v>1560</v>
      </c>
      <c r="K146" s="26">
        <f t="shared" si="137"/>
        <v>1560</v>
      </c>
      <c r="L146" s="26">
        <f t="shared" si="137"/>
        <v>1560</v>
      </c>
      <c r="M146" s="26">
        <f t="shared" si="137"/>
        <v>1560</v>
      </c>
      <c r="N146" s="26">
        <f t="shared" si="137"/>
        <v>1560</v>
      </c>
      <c r="O146" s="26">
        <f t="shared" si="137"/>
        <v>1560</v>
      </c>
      <c r="P146" s="27">
        <f t="shared" si="137"/>
        <v>1560</v>
      </c>
    </row>
    <row r="147" spans="1:16" x14ac:dyDescent="0.25">
      <c r="A147" s="28" t="s">
        <v>28</v>
      </c>
      <c r="B147" s="29"/>
      <c r="C147" s="29"/>
      <c r="D147" s="29"/>
      <c r="E147" s="29"/>
      <c r="F147" s="30">
        <f>F144+F145+F146</f>
        <v>43025</v>
      </c>
      <c r="G147" s="30">
        <f t="shared" ref="G147:P147" si="138">G144+G145+G146</f>
        <v>45297.549999999996</v>
      </c>
      <c r="H147" s="30">
        <f t="shared" si="138"/>
        <v>47729.178500000002</v>
      </c>
      <c r="I147" s="30">
        <f t="shared" si="138"/>
        <v>50331.020994999999</v>
      </c>
      <c r="J147" s="30">
        <f t="shared" si="138"/>
        <v>53114.99246465</v>
      </c>
      <c r="K147" s="30">
        <f t="shared" si="138"/>
        <v>56093.841937175501</v>
      </c>
      <c r="L147" s="30">
        <f t="shared" si="138"/>
        <v>59281.210872777774</v>
      </c>
      <c r="M147" s="30">
        <f t="shared" si="138"/>
        <v>62691.695633872216</v>
      </c>
      <c r="N147" s="30">
        <f t="shared" si="138"/>
        <v>66340.914328243278</v>
      </c>
      <c r="O147" s="30">
        <f t="shared" si="138"/>
        <v>70245.578331220298</v>
      </c>
      <c r="P147" s="31">
        <f t="shared" si="138"/>
        <v>74423.56881440572</v>
      </c>
    </row>
    <row r="148" spans="1:16" x14ac:dyDescent="0.25">
      <c r="A148" s="6">
        <v>13</v>
      </c>
      <c r="B148" s="7" t="s">
        <v>53</v>
      </c>
      <c r="C148" s="8" t="s">
        <v>16</v>
      </c>
      <c r="D148" s="9">
        <v>7.0000000000000007E-2</v>
      </c>
      <c r="E148" s="10" t="s">
        <v>54</v>
      </c>
      <c r="F148" s="32">
        <v>13600</v>
      </c>
      <c r="G148" s="11">
        <f>F148*7%+F148</f>
        <v>14552</v>
      </c>
      <c r="H148" s="11">
        <f t="shared" ref="H148:P148" si="139">G148*7%+G148</f>
        <v>15570.64</v>
      </c>
      <c r="I148" s="11">
        <f t="shared" si="139"/>
        <v>16660.584800000001</v>
      </c>
      <c r="J148" s="11">
        <f t="shared" si="139"/>
        <v>17826.825735999999</v>
      </c>
      <c r="K148" s="11">
        <f t="shared" si="139"/>
        <v>19074.703537519999</v>
      </c>
      <c r="L148" s="11">
        <f t="shared" si="139"/>
        <v>20409.9327851464</v>
      </c>
      <c r="M148" s="11">
        <f t="shared" si="139"/>
        <v>21838.62808010665</v>
      </c>
      <c r="N148" s="11">
        <f t="shared" si="139"/>
        <v>23367.332045714116</v>
      </c>
      <c r="O148" s="11">
        <f t="shared" si="139"/>
        <v>25003.045288914105</v>
      </c>
      <c r="P148" s="12">
        <f t="shared" si="139"/>
        <v>26753.258459138095</v>
      </c>
    </row>
    <row r="149" spans="1:16" x14ac:dyDescent="0.25">
      <c r="A149" s="6"/>
      <c r="B149" s="7"/>
      <c r="C149" s="8" t="s">
        <v>18</v>
      </c>
      <c r="D149" s="9">
        <v>0.7</v>
      </c>
      <c r="E149" s="10"/>
      <c r="F149" s="32">
        <f>F148*70%</f>
        <v>9520</v>
      </c>
      <c r="G149" s="32">
        <f t="shared" ref="G149:P149" si="140">G148*70%</f>
        <v>10186.4</v>
      </c>
      <c r="H149" s="32">
        <f t="shared" si="140"/>
        <v>10899.447999999999</v>
      </c>
      <c r="I149" s="32">
        <f t="shared" si="140"/>
        <v>11662.40936</v>
      </c>
      <c r="J149" s="32">
        <f t="shared" si="140"/>
        <v>12478.778015199998</v>
      </c>
      <c r="K149" s="32">
        <f t="shared" si="140"/>
        <v>13352.292476264</v>
      </c>
      <c r="L149" s="32">
        <f t="shared" si="140"/>
        <v>14286.952949602479</v>
      </c>
      <c r="M149" s="32">
        <f t="shared" si="140"/>
        <v>15287.039656074654</v>
      </c>
      <c r="N149" s="32">
        <f t="shared" si="140"/>
        <v>16357.13243199988</v>
      </c>
      <c r="O149" s="32">
        <f t="shared" si="140"/>
        <v>17502.131702239873</v>
      </c>
      <c r="P149" s="33">
        <f t="shared" si="140"/>
        <v>18727.280921396665</v>
      </c>
    </row>
    <row r="150" spans="1:16" x14ac:dyDescent="0.25">
      <c r="A150" s="6"/>
      <c r="B150" s="7"/>
      <c r="C150" s="8" t="s">
        <v>19</v>
      </c>
      <c r="D150" s="8" t="s">
        <v>20</v>
      </c>
      <c r="E150" s="10"/>
      <c r="F150" s="11">
        <v>3000</v>
      </c>
      <c r="G150" s="11">
        <f>F150</f>
        <v>3000</v>
      </c>
      <c r="H150" s="11">
        <f t="shared" ref="H150:P150" si="141">G150</f>
        <v>3000</v>
      </c>
      <c r="I150" s="11">
        <f t="shared" si="141"/>
        <v>3000</v>
      </c>
      <c r="J150" s="11">
        <f t="shared" si="141"/>
        <v>3000</v>
      </c>
      <c r="K150" s="11">
        <f t="shared" si="141"/>
        <v>3000</v>
      </c>
      <c r="L150" s="11">
        <f t="shared" si="141"/>
        <v>3000</v>
      </c>
      <c r="M150" s="11">
        <f t="shared" si="141"/>
        <v>3000</v>
      </c>
      <c r="N150" s="11">
        <f t="shared" si="141"/>
        <v>3000</v>
      </c>
      <c r="O150" s="11">
        <f t="shared" si="141"/>
        <v>3000</v>
      </c>
      <c r="P150" s="12">
        <f t="shared" si="141"/>
        <v>3000</v>
      </c>
    </row>
    <row r="151" spans="1:16" x14ac:dyDescent="0.25">
      <c r="A151" s="6"/>
      <c r="B151" s="7"/>
      <c r="C151" s="8" t="s">
        <v>21</v>
      </c>
      <c r="D151" s="9">
        <v>0.35</v>
      </c>
      <c r="E151" s="10"/>
      <c r="F151" s="32">
        <f>F148*35%</f>
        <v>4760</v>
      </c>
      <c r="G151" s="32">
        <f t="shared" ref="G151:P151" si="142">G148*35%</f>
        <v>5093.2</v>
      </c>
      <c r="H151" s="32">
        <f t="shared" si="142"/>
        <v>5449.7239999999993</v>
      </c>
      <c r="I151" s="32">
        <f t="shared" si="142"/>
        <v>5831.2046799999998</v>
      </c>
      <c r="J151" s="32">
        <f t="shared" si="142"/>
        <v>6239.3890075999989</v>
      </c>
      <c r="K151" s="32">
        <f t="shared" si="142"/>
        <v>6676.1462381319998</v>
      </c>
      <c r="L151" s="32">
        <f t="shared" si="142"/>
        <v>7143.4764748012394</v>
      </c>
      <c r="M151" s="32">
        <f t="shared" si="142"/>
        <v>7643.519828037327</v>
      </c>
      <c r="N151" s="32">
        <f t="shared" si="142"/>
        <v>8178.5662159999401</v>
      </c>
      <c r="O151" s="32">
        <f t="shared" si="142"/>
        <v>8751.0658511199363</v>
      </c>
      <c r="P151" s="33">
        <f t="shared" si="142"/>
        <v>9363.6404606983324</v>
      </c>
    </row>
    <row r="152" spans="1:16" x14ac:dyDescent="0.25">
      <c r="A152" s="6"/>
      <c r="B152" s="7"/>
      <c r="C152" s="8" t="s">
        <v>22</v>
      </c>
      <c r="D152" s="8" t="s">
        <v>20</v>
      </c>
      <c r="E152" s="10"/>
      <c r="F152" s="11">
        <v>4000</v>
      </c>
      <c r="G152" s="11">
        <f>F152</f>
        <v>4000</v>
      </c>
      <c r="H152" s="11">
        <f t="shared" ref="H152:P152" si="143">G152</f>
        <v>4000</v>
      </c>
      <c r="I152" s="11">
        <f t="shared" si="143"/>
        <v>4000</v>
      </c>
      <c r="J152" s="11">
        <f t="shared" si="143"/>
        <v>4000</v>
      </c>
      <c r="K152" s="11">
        <f t="shared" si="143"/>
        <v>4000</v>
      </c>
      <c r="L152" s="11">
        <f t="shared" si="143"/>
        <v>4000</v>
      </c>
      <c r="M152" s="11">
        <f t="shared" si="143"/>
        <v>4000</v>
      </c>
      <c r="N152" s="11">
        <f t="shared" si="143"/>
        <v>4000</v>
      </c>
      <c r="O152" s="11">
        <f t="shared" si="143"/>
        <v>4000</v>
      </c>
      <c r="P152" s="12">
        <f t="shared" si="143"/>
        <v>4000</v>
      </c>
    </row>
    <row r="153" spans="1:16" x14ac:dyDescent="0.25">
      <c r="A153" s="6"/>
      <c r="B153" s="13" t="s">
        <v>23</v>
      </c>
      <c r="C153" s="13"/>
      <c r="D153" s="13"/>
      <c r="E153" s="13"/>
      <c r="F153" s="34">
        <f>SUM(F148:F152)</f>
        <v>34880</v>
      </c>
      <c r="G153" s="34">
        <f t="shared" ref="G153:P153" si="144">SUM(G148:G152)</f>
        <v>36831.599999999999</v>
      </c>
      <c r="H153" s="34">
        <f t="shared" si="144"/>
        <v>38919.811999999998</v>
      </c>
      <c r="I153" s="34">
        <f t="shared" si="144"/>
        <v>41154.198840000005</v>
      </c>
      <c r="J153" s="34">
        <f t="shared" si="144"/>
        <v>43544.992758799999</v>
      </c>
      <c r="K153" s="34">
        <f t="shared" si="144"/>
        <v>46103.142251915997</v>
      </c>
      <c r="L153" s="34">
        <f t="shared" si="144"/>
        <v>48840.36220955012</v>
      </c>
      <c r="M153" s="34">
        <f t="shared" si="144"/>
        <v>51769.187564218635</v>
      </c>
      <c r="N153" s="34">
        <f t="shared" si="144"/>
        <v>54903.030693713939</v>
      </c>
      <c r="O153" s="34">
        <f t="shared" si="144"/>
        <v>58256.24284227391</v>
      </c>
      <c r="P153" s="35">
        <f t="shared" si="144"/>
        <v>61844.17984123309</v>
      </c>
    </row>
    <row r="154" spans="1:16" x14ac:dyDescent="0.25">
      <c r="A154" s="6"/>
      <c r="B154" s="16" t="s">
        <v>24</v>
      </c>
      <c r="C154" s="16"/>
      <c r="D154" s="16"/>
      <c r="E154" s="16"/>
      <c r="F154" s="17">
        <f>F148*10%+100</f>
        <v>1460</v>
      </c>
      <c r="G154" s="17">
        <f t="shared" ref="G154:P154" si="145">G148*10%+100</f>
        <v>1555.2</v>
      </c>
      <c r="H154" s="17">
        <f t="shared" si="145"/>
        <v>1657.0640000000001</v>
      </c>
      <c r="I154" s="17">
        <f t="shared" si="145"/>
        <v>1766.0584800000001</v>
      </c>
      <c r="J154" s="17">
        <f t="shared" si="145"/>
        <v>1882.6825736000001</v>
      </c>
      <c r="K154" s="17">
        <f t="shared" si="145"/>
        <v>2007.4703537519999</v>
      </c>
      <c r="L154" s="17">
        <f t="shared" si="145"/>
        <v>2140.9932785146402</v>
      </c>
      <c r="M154" s="17">
        <f t="shared" si="145"/>
        <v>2283.862808010665</v>
      </c>
      <c r="N154" s="17">
        <f t="shared" si="145"/>
        <v>2436.7332045714115</v>
      </c>
      <c r="O154" s="17">
        <f t="shared" si="145"/>
        <v>2600.3045288914109</v>
      </c>
      <c r="P154" s="18">
        <f t="shared" si="145"/>
        <v>2775.3258459138096</v>
      </c>
    </row>
    <row r="155" spans="1:16" x14ac:dyDescent="0.25">
      <c r="A155" s="6"/>
      <c r="B155" s="19" t="s">
        <v>25</v>
      </c>
      <c r="C155" s="19"/>
      <c r="D155" s="19"/>
      <c r="E155" s="19"/>
      <c r="F155" s="20">
        <f>F153-F154</f>
        <v>33420</v>
      </c>
      <c r="G155" s="20">
        <f>G153-G154</f>
        <v>35276.400000000001</v>
      </c>
      <c r="H155" s="20">
        <f t="shared" ref="H155:P155" si="146">H153-H154</f>
        <v>37262.748</v>
      </c>
      <c r="I155" s="20">
        <f t="shared" si="146"/>
        <v>39388.140360000005</v>
      </c>
      <c r="J155" s="20">
        <f t="shared" si="146"/>
        <v>41662.310185199996</v>
      </c>
      <c r="K155" s="20">
        <f t="shared" si="146"/>
        <v>44095.671898164001</v>
      </c>
      <c r="L155" s="20">
        <f t="shared" si="146"/>
        <v>46699.368931035482</v>
      </c>
      <c r="M155" s="20">
        <f t="shared" si="146"/>
        <v>49485.32475620797</v>
      </c>
      <c r="N155" s="20">
        <f t="shared" si="146"/>
        <v>52466.297489142526</v>
      </c>
      <c r="O155" s="20">
        <f t="shared" si="146"/>
        <v>55655.938313382503</v>
      </c>
      <c r="P155" s="21">
        <f t="shared" si="146"/>
        <v>59068.853995319281</v>
      </c>
    </row>
    <row r="156" spans="1:16" x14ac:dyDescent="0.25">
      <c r="A156" s="6"/>
      <c r="B156" s="22" t="s">
        <v>26</v>
      </c>
      <c r="C156" s="22"/>
      <c r="D156" s="22"/>
      <c r="E156" s="22"/>
      <c r="F156" s="23">
        <f>F148*10%</f>
        <v>1360</v>
      </c>
      <c r="G156" s="23">
        <f t="shared" ref="G156:P156" si="147">G148*10%</f>
        <v>1455.2</v>
      </c>
      <c r="H156" s="23">
        <f t="shared" si="147"/>
        <v>1557.0640000000001</v>
      </c>
      <c r="I156" s="23">
        <f t="shared" si="147"/>
        <v>1666.0584800000001</v>
      </c>
      <c r="J156" s="23">
        <f t="shared" si="147"/>
        <v>1782.6825736000001</v>
      </c>
      <c r="K156" s="23">
        <f t="shared" si="147"/>
        <v>1907.4703537519999</v>
      </c>
      <c r="L156" s="23">
        <f t="shared" si="147"/>
        <v>2040.9932785146402</v>
      </c>
      <c r="M156" s="23">
        <f t="shared" si="147"/>
        <v>2183.862808010665</v>
      </c>
      <c r="N156" s="23">
        <f t="shared" si="147"/>
        <v>2336.7332045714115</v>
      </c>
      <c r="O156" s="23">
        <f t="shared" si="147"/>
        <v>2500.3045288914109</v>
      </c>
      <c r="P156" s="24">
        <f t="shared" si="147"/>
        <v>2675.3258459138096</v>
      </c>
    </row>
    <row r="157" spans="1:16" x14ac:dyDescent="0.25">
      <c r="A157" s="6"/>
      <c r="B157" s="36" t="s">
        <v>39</v>
      </c>
      <c r="C157" s="36"/>
      <c r="D157" s="36"/>
      <c r="E157" s="36"/>
      <c r="F157" s="37">
        <f>F153+F156</f>
        <v>36240</v>
      </c>
      <c r="G157" s="37">
        <f t="shared" ref="G157:P157" si="148">G153+G156</f>
        <v>38286.799999999996</v>
      </c>
      <c r="H157" s="37">
        <f t="shared" si="148"/>
        <v>40476.875999999997</v>
      </c>
      <c r="I157" s="37">
        <f t="shared" si="148"/>
        <v>42820.257320000004</v>
      </c>
      <c r="J157" s="37">
        <f t="shared" si="148"/>
        <v>45327.675332400002</v>
      </c>
      <c r="K157" s="37">
        <f t="shared" si="148"/>
        <v>48010.612605667993</v>
      </c>
      <c r="L157" s="37">
        <f t="shared" si="148"/>
        <v>50881.355488064757</v>
      </c>
      <c r="M157" s="37">
        <f t="shared" si="148"/>
        <v>53953.0503722293</v>
      </c>
      <c r="N157" s="37">
        <f t="shared" si="148"/>
        <v>57239.763898285353</v>
      </c>
      <c r="O157" s="37">
        <f t="shared" si="148"/>
        <v>60756.547371165318</v>
      </c>
      <c r="P157" s="38">
        <f t="shared" si="148"/>
        <v>64519.505687146899</v>
      </c>
    </row>
    <row r="158" spans="1:16" x14ac:dyDescent="0.25">
      <c r="A158" s="6"/>
      <c r="B158" s="19" t="s">
        <v>40</v>
      </c>
      <c r="C158" s="19"/>
      <c r="D158" s="19"/>
      <c r="E158" s="19"/>
      <c r="F158" s="20">
        <v>2000</v>
      </c>
      <c r="G158" s="20">
        <v>2000</v>
      </c>
      <c r="H158" s="20">
        <v>2000</v>
      </c>
      <c r="I158" s="20">
        <v>2000</v>
      </c>
      <c r="J158" s="20">
        <v>2000</v>
      </c>
      <c r="K158" s="20">
        <v>2000</v>
      </c>
      <c r="L158" s="20">
        <v>2000</v>
      </c>
      <c r="M158" s="20">
        <v>2000</v>
      </c>
      <c r="N158" s="20">
        <v>2000</v>
      </c>
      <c r="O158" s="20">
        <v>2000</v>
      </c>
      <c r="P158" s="21">
        <v>2000</v>
      </c>
    </row>
    <row r="159" spans="1:16" x14ac:dyDescent="0.25">
      <c r="A159" s="6"/>
      <c r="B159" s="25" t="s">
        <v>27</v>
      </c>
      <c r="C159" s="25"/>
      <c r="D159" s="25"/>
      <c r="E159" s="25"/>
      <c r="F159" s="26">
        <f>60*26</f>
        <v>1560</v>
      </c>
      <c r="G159" s="26">
        <f t="shared" ref="G159:P159" si="149">60*26</f>
        <v>1560</v>
      </c>
      <c r="H159" s="26">
        <f t="shared" si="149"/>
        <v>1560</v>
      </c>
      <c r="I159" s="26">
        <f t="shared" si="149"/>
        <v>1560</v>
      </c>
      <c r="J159" s="26">
        <f t="shared" si="149"/>
        <v>1560</v>
      </c>
      <c r="K159" s="26">
        <f t="shared" si="149"/>
        <v>1560</v>
      </c>
      <c r="L159" s="26">
        <f t="shared" si="149"/>
        <v>1560</v>
      </c>
      <c r="M159" s="26">
        <f t="shared" si="149"/>
        <v>1560</v>
      </c>
      <c r="N159" s="26">
        <f t="shared" si="149"/>
        <v>1560</v>
      </c>
      <c r="O159" s="26">
        <f t="shared" si="149"/>
        <v>1560</v>
      </c>
      <c r="P159" s="27">
        <f t="shared" si="149"/>
        <v>1560</v>
      </c>
    </row>
    <row r="160" spans="1:16" x14ac:dyDescent="0.25">
      <c r="A160" s="28" t="s">
        <v>28</v>
      </c>
      <c r="B160" s="29"/>
      <c r="C160" s="29"/>
      <c r="D160" s="29"/>
      <c r="E160" s="29"/>
      <c r="F160" s="30">
        <f>F157+F158+F159</f>
        <v>39800</v>
      </c>
      <c r="G160" s="30">
        <f t="shared" ref="G160:P160" si="150">G157+G158+G159</f>
        <v>41846.799999999996</v>
      </c>
      <c r="H160" s="30">
        <f t="shared" si="150"/>
        <v>44036.875999999997</v>
      </c>
      <c r="I160" s="30">
        <f t="shared" si="150"/>
        <v>46380.257320000004</v>
      </c>
      <c r="J160" s="30">
        <f t="shared" si="150"/>
        <v>48887.675332400002</v>
      </c>
      <c r="K160" s="30">
        <f t="shared" si="150"/>
        <v>51570.612605667993</v>
      </c>
      <c r="L160" s="30">
        <f t="shared" si="150"/>
        <v>54441.355488064757</v>
      </c>
      <c r="M160" s="30">
        <f t="shared" si="150"/>
        <v>57513.0503722293</v>
      </c>
      <c r="N160" s="30">
        <f t="shared" si="150"/>
        <v>60799.763898285353</v>
      </c>
      <c r="O160" s="30">
        <f t="shared" si="150"/>
        <v>64316.547371165318</v>
      </c>
      <c r="P160" s="31">
        <f t="shared" si="150"/>
        <v>68079.505687146899</v>
      </c>
    </row>
    <row r="161" spans="1:16" x14ac:dyDescent="0.25">
      <c r="A161" s="6">
        <v>14</v>
      </c>
      <c r="B161" s="7" t="s">
        <v>55</v>
      </c>
      <c r="C161" s="8" t="s">
        <v>16</v>
      </c>
      <c r="D161" s="9">
        <v>7.0000000000000007E-2</v>
      </c>
      <c r="E161" s="10" t="s">
        <v>56</v>
      </c>
      <c r="F161" s="32">
        <v>12000</v>
      </c>
      <c r="G161" s="11">
        <f>F161*7%+F161</f>
        <v>12840</v>
      </c>
      <c r="H161" s="11">
        <f t="shared" ref="H161:P161" si="151">G161*7%+G161</f>
        <v>13738.8</v>
      </c>
      <c r="I161" s="11">
        <f t="shared" si="151"/>
        <v>14700.516</v>
      </c>
      <c r="J161" s="11">
        <f t="shared" si="151"/>
        <v>15729.55212</v>
      </c>
      <c r="K161" s="11">
        <f t="shared" si="151"/>
        <v>16830.6207684</v>
      </c>
      <c r="L161" s="11">
        <f t="shared" si="151"/>
        <v>18008.764222188001</v>
      </c>
      <c r="M161" s="11">
        <f t="shared" si="151"/>
        <v>19269.377717741161</v>
      </c>
      <c r="N161" s="11">
        <f t="shared" si="151"/>
        <v>20618.234157983043</v>
      </c>
      <c r="O161" s="11">
        <f t="shared" si="151"/>
        <v>22061.510549041857</v>
      </c>
      <c r="P161" s="12">
        <f t="shared" si="151"/>
        <v>23605.816287474787</v>
      </c>
    </row>
    <row r="162" spans="1:16" x14ac:dyDescent="0.25">
      <c r="A162" s="6"/>
      <c r="B162" s="7"/>
      <c r="C162" s="8" t="s">
        <v>18</v>
      </c>
      <c r="D162" s="9">
        <v>0.7</v>
      </c>
      <c r="E162" s="10"/>
      <c r="F162" s="32">
        <f>F161*70%</f>
        <v>8400</v>
      </c>
      <c r="G162" s="32">
        <f t="shared" ref="G162:P162" si="152">G161*70%</f>
        <v>8988</v>
      </c>
      <c r="H162" s="32">
        <f t="shared" si="152"/>
        <v>9617.159999999998</v>
      </c>
      <c r="I162" s="32">
        <f t="shared" si="152"/>
        <v>10290.361199999999</v>
      </c>
      <c r="J162" s="32">
        <f t="shared" si="152"/>
        <v>11010.686484</v>
      </c>
      <c r="K162" s="32">
        <f t="shared" si="152"/>
        <v>11781.434537879999</v>
      </c>
      <c r="L162" s="32">
        <f t="shared" si="152"/>
        <v>12606.134955531601</v>
      </c>
      <c r="M162" s="32">
        <f t="shared" si="152"/>
        <v>13488.564402418811</v>
      </c>
      <c r="N162" s="32">
        <f t="shared" si="152"/>
        <v>14432.763910588128</v>
      </c>
      <c r="O162" s="32">
        <f t="shared" si="152"/>
        <v>15443.057384329299</v>
      </c>
      <c r="P162" s="33">
        <f t="shared" si="152"/>
        <v>16524.071401232351</v>
      </c>
    </row>
    <row r="163" spans="1:16" x14ac:dyDescent="0.25">
      <c r="A163" s="6"/>
      <c r="B163" s="7"/>
      <c r="C163" s="8" t="s">
        <v>19</v>
      </c>
      <c r="D163" s="8" t="s">
        <v>20</v>
      </c>
      <c r="E163" s="10"/>
      <c r="F163" s="11">
        <v>3000</v>
      </c>
      <c r="G163" s="11">
        <f>F163</f>
        <v>3000</v>
      </c>
      <c r="H163" s="11">
        <f t="shared" ref="H163:P163" si="153">G163</f>
        <v>3000</v>
      </c>
      <c r="I163" s="11">
        <f t="shared" si="153"/>
        <v>3000</v>
      </c>
      <c r="J163" s="11">
        <f t="shared" si="153"/>
        <v>3000</v>
      </c>
      <c r="K163" s="11">
        <f t="shared" si="153"/>
        <v>3000</v>
      </c>
      <c r="L163" s="11">
        <f t="shared" si="153"/>
        <v>3000</v>
      </c>
      <c r="M163" s="11">
        <f t="shared" si="153"/>
        <v>3000</v>
      </c>
      <c r="N163" s="11">
        <f t="shared" si="153"/>
        <v>3000</v>
      </c>
      <c r="O163" s="11">
        <f t="shared" si="153"/>
        <v>3000</v>
      </c>
      <c r="P163" s="12">
        <f t="shared" si="153"/>
        <v>3000</v>
      </c>
    </row>
    <row r="164" spans="1:16" x14ac:dyDescent="0.25">
      <c r="A164" s="6"/>
      <c r="B164" s="7"/>
      <c r="C164" s="8" t="s">
        <v>21</v>
      </c>
      <c r="D164" s="9">
        <v>0.35</v>
      </c>
      <c r="E164" s="10"/>
      <c r="F164" s="32">
        <f>F161*35%</f>
        <v>4200</v>
      </c>
      <c r="G164" s="32">
        <f t="shared" ref="G164:P164" si="154">G161*35%</f>
        <v>4494</v>
      </c>
      <c r="H164" s="32">
        <f t="shared" si="154"/>
        <v>4808.579999999999</v>
      </c>
      <c r="I164" s="32">
        <f t="shared" si="154"/>
        <v>5145.1805999999997</v>
      </c>
      <c r="J164" s="32">
        <f t="shared" si="154"/>
        <v>5505.3432419999999</v>
      </c>
      <c r="K164" s="32">
        <f t="shared" si="154"/>
        <v>5890.7172689399995</v>
      </c>
      <c r="L164" s="32">
        <f t="shared" si="154"/>
        <v>6303.0674777658005</v>
      </c>
      <c r="M164" s="32">
        <f t="shared" si="154"/>
        <v>6744.2822012094057</v>
      </c>
      <c r="N164" s="32">
        <f t="shared" si="154"/>
        <v>7216.381955294064</v>
      </c>
      <c r="O164" s="32">
        <f t="shared" si="154"/>
        <v>7721.5286921646493</v>
      </c>
      <c r="P164" s="33">
        <f t="shared" si="154"/>
        <v>8262.0357006161757</v>
      </c>
    </row>
    <row r="165" spans="1:16" x14ac:dyDescent="0.25">
      <c r="A165" s="6"/>
      <c r="B165" s="7"/>
      <c r="C165" s="8" t="s">
        <v>22</v>
      </c>
      <c r="D165" s="8" t="s">
        <v>20</v>
      </c>
      <c r="E165" s="10"/>
      <c r="F165" s="11">
        <v>4000</v>
      </c>
      <c r="G165" s="11">
        <f>F165</f>
        <v>4000</v>
      </c>
      <c r="H165" s="11">
        <f t="shared" ref="H165:P165" si="155">G165</f>
        <v>4000</v>
      </c>
      <c r="I165" s="11">
        <f t="shared" si="155"/>
        <v>4000</v>
      </c>
      <c r="J165" s="11">
        <f t="shared" si="155"/>
        <v>4000</v>
      </c>
      <c r="K165" s="11">
        <f t="shared" si="155"/>
        <v>4000</v>
      </c>
      <c r="L165" s="11">
        <f t="shared" si="155"/>
        <v>4000</v>
      </c>
      <c r="M165" s="11">
        <f t="shared" si="155"/>
        <v>4000</v>
      </c>
      <c r="N165" s="11">
        <f t="shared" si="155"/>
        <v>4000</v>
      </c>
      <c r="O165" s="11">
        <f t="shared" si="155"/>
        <v>4000</v>
      </c>
      <c r="P165" s="12">
        <f t="shared" si="155"/>
        <v>4000</v>
      </c>
    </row>
    <row r="166" spans="1:16" x14ac:dyDescent="0.25">
      <c r="A166" s="6"/>
      <c r="B166" s="13" t="s">
        <v>23</v>
      </c>
      <c r="C166" s="13"/>
      <c r="D166" s="13"/>
      <c r="E166" s="13"/>
      <c r="F166" s="34">
        <f>SUM(F161:F165)</f>
        <v>31600</v>
      </c>
      <c r="G166" s="34">
        <f t="shared" ref="G166:P166" si="156">SUM(G161:G165)</f>
        <v>33322</v>
      </c>
      <c r="H166" s="34">
        <f t="shared" si="156"/>
        <v>35164.539999999994</v>
      </c>
      <c r="I166" s="34">
        <f t="shared" si="156"/>
        <v>37136.057799999995</v>
      </c>
      <c r="J166" s="34">
        <f t="shared" si="156"/>
        <v>39245.581846000001</v>
      </c>
      <c r="K166" s="34">
        <f t="shared" si="156"/>
        <v>41502.772575219999</v>
      </c>
      <c r="L166" s="34">
        <f t="shared" si="156"/>
        <v>43917.966655485405</v>
      </c>
      <c r="M166" s="34">
        <f t="shared" si="156"/>
        <v>46502.22432136938</v>
      </c>
      <c r="N166" s="34">
        <f t="shared" si="156"/>
        <v>49267.380023865233</v>
      </c>
      <c r="O166" s="34">
        <f t="shared" si="156"/>
        <v>52226.096625535807</v>
      </c>
      <c r="P166" s="35">
        <f t="shared" si="156"/>
        <v>55391.923389323318</v>
      </c>
    </row>
    <row r="167" spans="1:16" x14ac:dyDescent="0.25">
      <c r="A167" s="6"/>
      <c r="B167" s="16" t="s">
        <v>24</v>
      </c>
      <c r="C167" s="16"/>
      <c r="D167" s="16"/>
      <c r="E167" s="16"/>
      <c r="F167" s="17">
        <f>F161*10%+100</f>
        <v>1300</v>
      </c>
      <c r="G167" s="17">
        <f t="shared" ref="G167:P167" si="157">G161*10%+100</f>
        <v>1384</v>
      </c>
      <c r="H167" s="17">
        <f t="shared" si="157"/>
        <v>1473.88</v>
      </c>
      <c r="I167" s="17">
        <f t="shared" si="157"/>
        <v>1570.0516</v>
      </c>
      <c r="J167" s="17">
        <f t="shared" si="157"/>
        <v>1672.9552120000001</v>
      </c>
      <c r="K167" s="17">
        <f t="shared" si="157"/>
        <v>1783.0620768400001</v>
      </c>
      <c r="L167" s="17">
        <f t="shared" si="157"/>
        <v>1900.8764222188001</v>
      </c>
      <c r="M167" s="17">
        <f t="shared" si="157"/>
        <v>2026.9377717741163</v>
      </c>
      <c r="N167" s="17">
        <f t="shared" si="157"/>
        <v>2161.8234157983043</v>
      </c>
      <c r="O167" s="17">
        <f t="shared" si="157"/>
        <v>2306.1510549041859</v>
      </c>
      <c r="P167" s="18">
        <f t="shared" si="157"/>
        <v>2460.5816287474786</v>
      </c>
    </row>
    <row r="168" spans="1:16" x14ac:dyDescent="0.25">
      <c r="A168" s="6"/>
      <c r="B168" s="19" t="s">
        <v>25</v>
      </c>
      <c r="C168" s="19"/>
      <c r="D168" s="19"/>
      <c r="E168" s="19"/>
      <c r="F168" s="20">
        <f>F166-F167</f>
        <v>30300</v>
      </c>
      <c r="G168" s="20">
        <f>G166-G167</f>
        <v>31938</v>
      </c>
      <c r="H168" s="20">
        <f t="shared" ref="H168:P168" si="158">H166-H167</f>
        <v>33690.659999999996</v>
      </c>
      <c r="I168" s="20">
        <f t="shared" si="158"/>
        <v>35566.006199999996</v>
      </c>
      <c r="J168" s="20">
        <f t="shared" si="158"/>
        <v>37572.626634</v>
      </c>
      <c r="K168" s="20">
        <f t="shared" si="158"/>
        <v>39719.710498380002</v>
      </c>
      <c r="L168" s="20">
        <f t="shared" si="158"/>
        <v>42017.090233266601</v>
      </c>
      <c r="M168" s="20">
        <f t="shared" si="158"/>
        <v>44475.286549595265</v>
      </c>
      <c r="N168" s="20">
        <f t="shared" si="158"/>
        <v>47105.55660806693</v>
      </c>
      <c r="O168" s="20">
        <f t="shared" si="158"/>
        <v>49919.945570631622</v>
      </c>
      <c r="P168" s="21">
        <f t="shared" si="158"/>
        <v>52931.341760575837</v>
      </c>
    </row>
    <row r="169" spans="1:16" x14ac:dyDescent="0.25">
      <c r="A169" s="6"/>
      <c r="B169" s="22" t="s">
        <v>26</v>
      </c>
      <c r="C169" s="22"/>
      <c r="D169" s="22"/>
      <c r="E169" s="22"/>
      <c r="F169" s="23">
        <f>F161*10%</f>
        <v>1200</v>
      </c>
      <c r="G169" s="23">
        <f t="shared" ref="G169:P169" si="159">G161*10%</f>
        <v>1284</v>
      </c>
      <c r="H169" s="23">
        <f t="shared" si="159"/>
        <v>1373.88</v>
      </c>
      <c r="I169" s="23">
        <f t="shared" si="159"/>
        <v>1470.0516</v>
      </c>
      <c r="J169" s="23">
        <f t="shared" si="159"/>
        <v>1572.9552120000001</v>
      </c>
      <c r="K169" s="23">
        <f t="shared" si="159"/>
        <v>1683.0620768400001</v>
      </c>
      <c r="L169" s="23">
        <f t="shared" si="159"/>
        <v>1800.8764222188001</v>
      </c>
      <c r="M169" s="23">
        <f t="shared" si="159"/>
        <v>1926.9377717741163</v>
      </c>
      <c r="N169" s="23">
        <f t="shared" si="159"/>
        <v>2061.8234157983043</v>
      </c>
      <c r="O169" s="23">
        <f t="shared" si="159"/>
        <v>2206.1510549041859</v>
      </c>
      <c r="P169" s="24">
        <f t="shared" si="159"/>
        <v>2360.5816287474786</v>
      </c>
    </row>
    <row r="170" spans="1:16" x14ac:dyDescent="0.25">
      <c r="A170" s="6"/>
      <c r="B170" s="36" t="s">
        <v>39</v>
      </c>
      <c r="C170" s="36"/>
      <c r="D170" s="36"/>
      <c r="E170" s="36"/>
      <c r="F170" s="37">
        <f>F166+F169</f>
        <v>32800</v>
      </c>
      <c r="G170" s="37">
        <f t="shared" ref="G170:P170" si="160">G166+G169</f>
        <v>34606</v>
      </c>
      <c r="H170" s="37">
        <f t="shared" si="160"/>
        <v>36538.419999999991</v>
      </c>
      <c r="I170" s="37">
        <f t="shared" si="160"/>
        <v>38606.109399999994</v>
      </c>
      <c r="J170" s="37">
        <f t="shared" si="160"/>
        <v>40818.537058000002</v>
      </c>
      <c r="K170" s="37">
        <f t="shared" si="160"/>
        <v>43185.834652059995</v>
      </c>
      <c r="L170" s="37">
        <f t="shared" si="160"/>
        <v>45718.843077704209</v>
      </c>
      <c r="M170" s="37">
        <f t="shared" si="160"/>
        <v>48429.162093143495</v>
      </c>
      <c r="N170" s="37">
        <f t="shared" si="160"/>
        <v>51329.203439663535</v>
      </c>
      <c r="O170" s="37">
        <f t="shared" si="160"/>
        <v>54432.247680439992</v>
      </c>
      <c r="P170" s="38">
        <f t="shared" si="160"/>
        <v>57752.505018070799</v>
      </c>
    </row>
    <row r="171" spans="1:16" x14ac:dyDescent="0.25">
      <c r="A171" s="6"/>
      <c r="B171" s="19" t="s">
        <v>40</v>
      </c>
      <c r="C171" s="19"/>
      <c r="D171" s="19"/>
      <c r="E171" s="19"/>
      <c r="F171" s="20">
        <v>2000</v>
      </c>
      <c r="G171" s="20">
        <v>2000</v>
      </c>
      <c r="H171" s="20">
        <v>2000</v>
      </c>
      <c r="I171" s="20">
        <v>2000</v>
      </c>
      <c r="J171" s="20">
        <v>2000</v>
      </c>
      <c r="K171" s="20">
        <v>2000</v>
      </c>
      <c r="L171" s="20">
        <v>2000</v>
      </c>
      <c r="M171" s="20">
        <v>2000</v>
      </c>
      <c r="N171" s="20">
        <v>2000</v>
      </c>
      <c r="O171" s="20">
        <v>2000</v>
      </c>
      <c r="P171" s="21">
        <v>2000</v>
      </c>
    </row>
    <row r="172" spans="1:16" x14ac:dyDescent="0.25">
      <c r="A172" s="6"/>
      <c r="B172" s="25" t="s">
        <v>27</v>
      </c>
      <c r="C172" s="25"/>
      <c r="D172" s="25"/>
      <c r="E172" s="25"/>
      <c r="F172" s="26">
        <f>60*26</f>
        <v>1560</v>
      </c>
      <c r="G172" s="26">
        <f t="shared" ref="G172:P172" si="161">60*26</f>
        <v>1560</v>
      </c>
      <c r="H172" s="26">
        <f t="shared" si="161"/>
        <v>1560</v>
      </c>
      <c r="I172" s="26">
        <f t="shared" si="161"/>
        <v>1560</v>
      </c>
      <c r="J172" s="26">
        <f t="shared" si="161"/>
        <v>1560</v>
      </c>
      <c r="K172" s="26">
        <f t="shared" si="161"/>
        <v>1560</v>
      </c>
      <c r="L172" s="26">
        <f t="shared" si="161"/>
        <v>1560</v>
      </c>
      <c r="M172" s="26">
        <f t="shared" si="161"/>
        <v>1560</v>
      </c>
      <c r="N172" s="26">
        <f t="shared" si="161"/>
        <v>1560</v>
      </c>
      <c r="O172" s="26">
        <f t="shared" si="161"/>
        <v>1560</v>
      </c>
      <c r="P172" s="27">
        <f t="shared" si="161"/>
        <v>1560</v>
      </c>
    </row>
    <row r="173" spans="1:16" x14ac:dyDescent="0.25">
      <c r="A173" s="28" t="s">
        <v>28</v>
      </c>
      <c r="B173" s="29"/>
      <c r="C173" s="29"/>
      <c r="D173" s="29"/>
      <c r="E173" s="29"/>
      <c r="F173" s="30">
        <f>F170+F171+F172</f>
        <v>36360</v>
      </c>
      <c r="G173" s="30">
        <f t="shared" ref="G173:P173" si="162">G170+G171+G172</f>
        <v>38166</v>
      </c>
      <c r="H173" s="30">
        <f t="shared" si="162"/>
        <v>40098.419999999991</v>
      </c>
      <c r="I173" s="30">
        <f t="shared" si="162"/>
        <v>42166.109399999994</v>
      </c>
      <c r="J173" s="30">
        <f t="shared" si="162"/>
        <v>44378.537058000002</v>
      </c>
      <c r="K173" s="30">
        <f t="shared" si="162"/>
        <v>46745.834652059995</v>
      </c>
      <c r="L173" s="30">
        <f t="shared" si="162"/>
        <v>49278.843077704209</v>
      </c>
      <c r="M173" s="30">
        <f t="shared" si="162"/>
        <v>51989.162093143495</v>
      </c>
      <c r="N173" s="30">
        <f t="shared" si="162"/>
        <v>54889.203439663535</v>
      </c>
      <c r="O173" s="30">
        <f t="shared" si="162"/>
        <v>57992.247680439992</v>
      </c>
      <c r="P173" s="31">
        <f t="shared" si="162"/>
        <v>61312.505018070799</v>
      </c>
    </row>
    <row r="174" spans="1:16" x14ac:dyDescent="0.25">
      <c r="A174" s="6">
        <v>15</v>
      </c>
      <c r="B174" s="7" t="s">
        <v>57</v>
      </c>
      <c r="C174" s="8" t="s">
        <v>16</v>
      </c>
      <c r="D174" s="9">
        <v>7.0000000000000007E-2</v>
      </c>
      <c r="E174" s="10" t="s">
        <v>58</v>
      </c>
      <c r="F174" s="32">
        <v>7200</v>
      </c>
      <c r="G174" s="11">
        <f>F174*7%+F174</f>
        <v>7704</v>
      </c>
      <c r="H174" s="11">
        <f t="shared" ref="H174:P174" si="163">G174*7%+G174</f>
        <v>8243.2800000000007</v>
      </c>
      <c r="I174" s="11">
        <f t="shared" si="163"/>
        <v>8820.3096000000005</v>
      </c>
      <c r="J174" s="11">
        <f t="shared" si="163"/>
        <v>9437.7312720000009</v>
      </c>
      <c r="K174" s="11">
        <f t="shared" si="163"/>
        <v>10098.37246104</v>
      </c>
      <c r="L174" s="11">
        <f t="shared" si="163"/>
        <v>10805.258533312801</v>
      </c>
      <c r="M174" s="11">
        <f t="shared" si="163"/>
        <v>11561.626630644698</v>
      </c>
      <c r="N174" s="11">
        <f t="shared" si="163"/>
        <v>12370.940494789827</v>
      </c>
      <c r="O174" s="11">
        <f t="shared" si="163"/>
        <v>13236.906329425115</v>
      </c>
      <c r="P174" s="12">
        <f t="shared" si="163"/>
        <v>14163.489772484874</v>
      </c>
    </row>
    <row r="175" spans="1:16" x14ac:dyDescent="0.25">
      <c r="A175" s="6"/>
      <c r="B175" s="7"/>
      <c r="C175" s="8" t="s">
        <v>18</v>
      </c>
      <c r="D175" s="9">
        <v>0.7</v>
      </c>
      <c r="E175" s="10"/>
      <c r="F175" s="32">
        <f>F174*70%</f>
        <v>5040</v>
      </c>
      <c r="G175" s="32">
        <f t="shared" ref="G175:P175" si="164">G174*70%</f>
        <v>5392.7999999999993</v>
      </c>
      <c r="H175" s="32">
        <f t="shared" si="164"/>
        <v>5770.2960000000003</v>
      </c>
      <c r="I175" s="32">
        <f t="shared" si="164"/>
        <v>6174.2167200000004</v>
      </c>
      <c r="J175" s="32">
        <f t="shared" si="164"/>
        <v>6606.4118904000006</v>
      </c>
      <c r="K175" s="32">
        <f t="shared" si="164"/>
        <v>7068.8607227279999</v>
      </c>
      <c r="L175" s="32">
        <f t="shared" si="164"/>
        <v>7563.6809733189602</v>
      </c>
      <c r="M175" s="32">
        <f t="shared" si="164"/>
        <v>8093.1386414512881</v>
      </c>
      <c r="N175" s="32">
        <f t="shared" si="164"/>
        <v>8659.6583463528787</v>
      </c>
      <c r="O175" s="32">
        <f t="shared" si="164"/>
        <v>9265.8344305975806</v>
      </c>
      <c r="P175" s="33">
        <f t="shared" si="164"/>
        <v>9914.4428407394116</v>
      </c>
    </row>
    <row r="176" spans="1:16" x14ac:dyDescent="0.25">
      <c r="A176" s="6"/>
      <c r="B176" s="7"/>
      <c r="C176" s="8" t="s">
        <v>19</v>
      </c>
      <c r="D176" s="8" t="s">
        <v>20</v>
      </c>
      <c r="E176" s="10"/>
      <c r="F176" s="11">
        <v>3000</v>
      </c>
      <c r="G176" s="11">
        <f>F176</f>
        <v>3000</v>
      </c>
      <c r="H176" s="11">
        <f t="shared" ref="H176:P176" si="165">G176</f>
        <v>3000</v>
      </c>
      <c r="I176" s="11">
        <f t="shared" si="165"/>
        <v>3000</v>
      </c>
      <c r="J176" s="11">
        <f t="shared" si="165"/>
        <v>3000</v>
      </c>
      <c r="K176" s="11">
        <f t="shared" si="165"/>
        <v>3000</v>
      </c>
      <c r="L176" s="11">
        <f t="shared" si="165"/>
        <v>3000</v>
      </c>
      <c r="M176" s="11">
        <f t="shared" si="165"/>
        <v>3000</v>
      </c>
      <c r="N176" s="11">
        <f t="shared" si="165"/>
        <v>3000</v>
      </c>
      <c r="O176" s="11">
        <f t="shared" si="165"/>
        <v>3000</v>
      </c>
      <c r="P176" s="12">
        <f t="shared" si="165"/>
        <v>3000</v>
      </c>
    </row>
    <row r="177" spans="1:16" x14ac:dyDescent="0.25">
      <c r="A177" s="6"/>
      <c r="B177" s="7"/>
      <c r="C177" s="8" t="s">
        <v>21</v>
      </c>
      <c r="D177" s="9">
        <v>0.35</v>
      </c>
      <c r="E177" s="10"/>
      <c r="F177" s="32">
        <f>F174*35%</f>
        <v>2520</v>
      </c>
      <c r="G177" s="32">
        <f t="shared" ref="G177:P177" si="166">G174*35%</f>
        <v>2696.3999999999996</v>
      </c>
      <c r="H177" s="32">
        <f t="shared" si="166"/>
        <v>2885.1480000000001</v>
      </c>
      <c r="I177" s="32">
        <f t="shared" si="166"/>
        <v>3087.1083600000002</v>
      </c>
      <c r="J177" s="32">
        <f t="shared" si="166"/>
        <v>3303.2059452000003</v>
      </c>
      <c r="K177" s="32">
        <f t="shared" si="166"/>
        <v>3534.430361364</v>
      </c>
      <c r="L177" s="32">
        <f t="shared" si="166"/>
        <v>3781.8404866594801</v>
      </c>
      <c r="M177" s="32">
        <f t="shared" si="166"/>
        <v>4046.569320725644</v>
      </c>
      <c r="N177" s="32">
        <f t="shared" si="166"/>
        <v>4329.8291731764393</v>
      </c>
      <c r="O177" s="32">
        <f t="shared" si="166"/>
        <v>4632.9172152987903</v>
      </c>
      <c r="P177" s="33">
        <f t="shared" si="166"/>
        <v>4957.2214203697058</v>
      </c>
    </row>
    <row r="178" spans="1:16" x14ac:dyDescent="0.25">
      <c r="A178" s="6"/>
      <c r="B178" s="7"/>
      <c r="C178" s="8" t="s">
        <v>22</v>
      </c>
      <c r="D178" s="8" t="s">
        <v>20</v>
      </c>
      <c r="E178" s="10"/>
      <c r="F178" s="11">
        <v>4000</v>
      </c>
      <c r="G178" s="11">
        <f>F178</f>
        <v>4000</v>
      </c>
      <c r="H178" s="11">
        <f t="shared" ref="H178:P178" si="167">G178</f>
        <v>4000</v>
      </c>
      <c r="I178" s="11">
        <f t="shared" si="167"/>
        <v>4000</v>
      </c>
      <c r="J178" s="11">
        <f t="shared" si="167"/>
        <v>4000</v>
      </c>
      <c r="K178" s="11">
        <f t="shared" si="167"/>
        <v>4000</v>
      </c>
      <c r="L178" s="11">
        <f t="shared" si="167"/>
        <v>4000</v>
      </c>
      <c r="M178" s="11">
        <f t="shared" si="167"/>
        <v>4000</v>
      </c>
      <c r="N178" s="11">
        <f t="shared" si="167"/>
        <v>4000</v>
      </c>
      <c r="O178" s="11">
        <f t="shared" si="167"/>
        <v>4000</v>
      </c>
      <c r="P178" s="12">
        <f t="shared" si="167"/>
        <v>4000</v>
      </c>
    </row>
    <row r="179" spans="1:16" x14ac:dyDescent="0.25">
      <c r="A179" s="6"/>
      <c r="B179" s="13" t="s">
        <v>23</v>
      </c>
      <c r="C179" s="13"/>
      <c r="D179" s="13"/>
      <c r="E179" s="13"/>
      <c r="F179" s="34">
        <f t="shared" ref="F179:P179" si="168">SUM(F174:F178)</f>
        <v>21760</v>
      </c>
      <c r="G179" s="34">
        <f t="shared" si="168"/>
        <v>22793.199999999997</v>
      </c>
      <c r="H179" s="34">
        <f t="shared" si="168"/>
        <v>23898.724000000002</v>
      </c>
      <c r="I179" s="34">
        <f t="shared" si="168"/>
        <v>25081.634680000003</v>
      </c>
      <c r="J179" s="34">
        <f t="shared" si="168"/>
        <v>26347.349107600003</v>
      </c>
      <c r="K179" s="34">
        <f t="shared" si="168"/>
        <v>27701.663545132</v>
      </c>
      <c r="L179" s="34">
        <f t="shared" si="168"/>
        <v>29150.779993291238</v>
      </c>
      <c r="M179" s="34">
        <f t="shared" si="168"/>
        <v>30701.334592821629</v>
      </c>
      <c r="N179" s="34">
        <f t="shared" si="168"/>
        <v>32360.428014319146</v>
      </c>
      <c r="O179" s="34">
        <f t="shared" si="168"/>
        <v>34135.657975321483</v>
      </c>
      <c r="P179" s="35">
        <f t="shared" si="168"/>
        <v>36035.154033593994</v>
      </c>
    </row>
    <row r="180" spans="1:16" x14ac:dyDescent="0.25">
      <c r="A180" s="6"/>
      <c r="B180" s="16" t="s">
        <v>24</v>
      </c>
      <c r="C180" s="16"/>
      <c r="D180" s="16"/>
      <c r="E180" s="16"/>
      <c r="F180" s="17">
        <f>F174*10%+100</f>
        <v>820</v>
      </c>
      <c r="G180" s="17">
        <f t="shared" ref="G180:P180" si="169">G174*10%+100</f>
        <v>870.40000000000009</v>
      </c>
      <c r="H180" s="17">
        <f t="shared" si="169"/>
        <v>924.32800000000009</v>
      </c>
      <c r="I180" s="17">
        <f t="shared" si="169"/>
        <v>982.03096000000005</v>
      </c>
      <c r="J180" s="17">
        <f t="shared" si="169"/>
        <v>1043.7731272000001</v>
      </c>
      <c r="K180" s="17">
        <f t="shared" si="169"/>
        <v>1109.8372461040001</v>
      </c>
      <c r="L180" s="17">
        <f t="shared" si="169"/>
        <v>1180.5258533312801</v>
      </c>
      <c r="M180" s="17">
        <f t="shared" si="169"/>
        <v>1256.1626630644698</v>
      </c>
      <c r="N180" s="17">
        <f t="shared" si="169"/>
        <v>1337.0940494789829</v>
      </c>
      <c r="O180" s="17">
        <f t="shared" si="169"/>
        <v>1423.6906329425117</v>
      </c>
      <c r="P180" s="18">
        <f t="shared" si="169"/>
        <v>1516.3489772484875</v>
      </c>
    </row>
    <row r="181" spans="1:16" x14ac:dyDescent="0.25">
      <c r="A181" s="6"/>
      <c r="B181" s="19" t="s">
        <v>25</v>
      </c>
      <c r="C181" s="19"/>
      <c r="D181" s="19"/>
      <c r="E181" s="19"/>
      <c r="F181" s="20">
        <f>F179-F180</f>
        <v>20940</v>
      </c>
      <c r="G181" s="20">
        <f>G179-G180</f>
        <v>21922.799999999996</v>
      </c>
      <c r="H181" s="20">
        <f t="shared" ref="H181:P181" si="170">H179-H180</f>
        <v>22974.396000000001</v>
      </c>
      <c r="I181" s="20">
        <f t="shared" si="170"/>
        <v>24099.603720000003</v>
      </c>
      <c r="J181" s="20">
        <f t="shared" si="170"/>
        <v>25303.575980400004</v>
      </c>
      <c r="K181" s="20">
        <f t="shared" si="170"/>
        <v>26591.826299027998</v>
      </c>
      <c r="L181" s="20">
        <f t="shared" si="170"/>
        <v>27970.254139959958</v>
      </c>
      <c r="M181" s="20">
        <f t="shared" si="170"/>
        <v>29445.171929757158</v>
      </c>
      <c r="N181" s="20">
        <f t="shared" si="170"/>
        <v>31023.333964840163</v>
      </c>
      <c r="O181" s="20">
        <f t="shared" si="170"/>
        <v>32711.967342378972</v>
      </c>
      <c r="P181" s="21">
        <f t="shared" si="170"/>
        <v>34518.805056345504</v>
      </c>
    </row>
    <row r="182" spans="1:16" x14ac:dyDescent="0.25">
      <c r="A182" s="6"/>
      <c r="B182" s="22" t="s">
        <v>26</v>
      </c>
      <c r="C182" s="22"/>
      <c r="D182" s="22"/>
      <c r="E182" s="22"/>
      <c r="F182" s="23">
        <f>F174*10%</f>
        <v>720</v>
      </c>
      <c r="G182" s="23">
        <f t="shared" ref="G182:P182" si="171">G174*10%</f>
        <v>770.40000000000009</v>
      </c>
      <c r="H182" s="23">
        <f t="shared" si="171"/>
        <v>824.32800000000009</v>
      </c>
      <c r="I182" s="23">
        <f t="shared" si="171"/>
        <v>882.03096000000005</v>
      </c>
      <c r="J182" s="23">
        <f t="shared" si="171"/>
        <v>943.77312720000009</v>
      </c>
      <c r="K182" s="23">
        <f t="shared" si="171"/>
        <v>1009.8372461040001</v>
      </c>
      <c r="L182" s="23">
        <f t="shared" si="171"/>
        <v>1080.5258533312801</v>
      </c>
      <c r="M182" s="23">
        <f t="shared" si="171"/>
        <v>1156.1626630644698</v>
      </c>
      <c r="N182" s="23">
        <f t="shared" si="171"/>
        <v>1237.0940494789829</v>
      </c>
      <c r="O182" s="23">
        <f t="shared" si="171"/>
        <v>1323.6906329425117</v>
      </c>
      <c r="P182" s="24">
        <f t="shared" si="171"/>
        <v>1416.3489772484875</v>
      </c>
    </row>
    <row r="183" spans="1:16" x14ac:dyDescent="0.25">
      <c r="A183" s="6"/>
      <c r="B183" s="36" t="s">
        <v>39</v>
      </c>
      <c r="C183" s="36"/>
      <c r="D183" s="36"/>
      <c r="E183" s="36"/>
      <c r="F183" s="37">
        <f>F179+F182</f>
        <v>22480</v>
      </c>
      <c r="G183" s="37">
        <f t="shared" ref="G183:P183" si="172">G179+G182</f>
        <v>23563.599999999999</v>
      </c>
      <c r="H183" s="37">
        <f t="shared" si="172"/>
        <v>24723.052000000003</v>
      </c>
      <c r="I183" s="37">
        <f t="shared" si="172"/>
        <v>25963.665640000003</v>
      </c>
      <c r="J183" s="37">
        <f t="shared" si="172"/>
        <v>27291.122234800001</v>
      </c>
      <c r="K183" s="37">
        <f t="shared" si="172"/>
        <v>28711.500791236002</v>
      </c>
      <c r="L183" s="37">
        <f t="shared" si="172"/>
        <v>30231.305846622519</v>
      </c>
      <c r="M183" s="37">
        <f t="shared" si="172"/>
        <v>31857.497255886101</v>
      </c>
      <c r="N183" s="37">
        <f t="shared" si="172"/>
        <v>33597.522063798126</v>
      </c>
      <c r="O183" s="37">
        <f t="shared" si="172"/>
        <v>35459.348608263994</v>
      </c>
      <c r="P183" s="38">
        <f t="shared" si="172"/>
        <v>37451.503010842483</v>
      </c>
    </row>
    <row r="184" spans="1:16" x14ac:dyDescent="0.25">
      <c r="A184" s="6"/>
      <c r="B184" s="25" t="s">
        <v>27</v>
      </c>
      <c r="C184" s="25"/>
      <c r="D184" s="25"/>
      <c r="E184" s="25"/>
      <c r="F184" s="26">
        <f>60*26</f>
        <v>1560</v>
      </c>
      <c r="G184" s="26">
        <f t="shared" ref="G184:P184" si="173">60*26</f>
        <v>1560</v>
      </c>
      <c r="H184" s="26">
        <f t="shared" si="173"/>
        <v>1560</v>
      </c>
      <c r="I184" s="26">
        <f t="shared" si="173"/>
        <v>1560</v>
      </c>
      <c r="J184" s="26">
        <f t="shared" si="173"/>
        <v>1560</v>
      </c>
      <c r="K184" s="26">
        <f t="shared" si="173"/>
        <v>1560</v>
      </c>
      <c r="L184" s="26">
        <f t="shared" si="173"/>
        <v>1560</v>
      </c>
      <c r="M184" s="26">
        <f t="shared" si="173"/>
        <v>1560</v>
      </c>
      <c r="N184" s="26">
        <f t="shared" si="173"/>
        <v>1560</v>
      </c>
      <c r="O184" s="26">
        <f t="shared" si="173"/>
        <v>1560</v>
      </c>
      <c r="P184" s="27">
        <f t="shared" si="173"/>
        <v>1560</v>
      </c>
    </row>
    <row r="185" spans="1:16" x14ac:dyDescent="0.25">
      <c r="A185" s="28" t="s">
        <v>28</v>
      </c>
      <c r="B185" s="29"/>
      <c r="C185" s="29"/>
      <c r="D185" s="29"/>
      <c r="E185" s="29"/>
      <c r="F185" s="30">
        <f>F183+F184</f>
        <v>24040</v>
      </c>
      <c r="G185" s="30">
        <f>G183+G184</f>
        <v>25123.599999999999</v>
      </c>
      <c r="H185" s="30">
        <f t="shared" ref="H185:P185" si="174">H183+H184</f>
        <v>26283.052000000003</v>
      </c>
      <c r="I185" s="30">
        <f t="shared" si="174"/>
        <v>27523.665640000003</v>
      </c>
      <c r="J185" s="30">
        <f t="shared" si="174"/>
        <v>28851.122234800001</v>
      </c>
      <c r="K185" s="30">
        <f t="shared" si="174"/>
        <v>30271.500791236002</v>
      </c>
      <c r="L185" s="30">
        <f t="shared" si="174"/>
        <v>31791.305846622519</v>
      </c>
      <c r="M185" s="30">
        <f t="shared" si="174"/>
        <v>33417.497255886105</v>
      </c>
      <c r="N185" s="30">
        <f t="shared" si="174"/>
        <v>35157.522063798126</v>
      </c>
      <c r="O185" s="30">
        <f t="shared" si="174"/>
        <v>37019.348608263994</v>
      </c>
      <c r="P185" s="31">
        <f t="shared" si="174"/>
        <v>39011.503010842483</v>
      </c>
    </row>
  </sheetData>
  <mergeCells count="154">
    <mergeCell ref="B182:E182"/>
    <mergeCell ref="B183:E183"/>
    <mergeCell ref="B184:E184"/>
    <mergeCell ref="A185:E185"/>
    <mergeCell ref="B170:E170"/>
    <mergeCell ref="B171:E171"/>
    <mergeCell ref="B172:E172"/>
    <mergeCell ref="A173:E173"/>
    <mergeCell ref="A174:A184"/>
    <mergeCell ref="B174:B178"/>
    <mergeCell ref="E174:E178"/>
    <mergeCell ref="B179:E179"/>
    <mergeCell ref="B180:E180"/>
    <mergeCell ref="B181:E181"/>
    <mergeCell ref="B158:E158"/>
    <mergeCell ref="B159:E159"/>
    <mergeCell ref="A160:E160"/>
    <mergeCell ref="A161:A172"/>
    <mergeCell ref="B161:B165"/>
    <mergeCell ref="E161:E165"/>
    <mergeCell ref="B166:E166"/>
    <mergeCell ref="B167:E167"/>
    <mergeCell ref="B168:E168"/>
    <mergeCell ref="B169:E169"/>
    <mergeCell ref="B146:E146"/>
    <mergeCell ref="A147:E147"/>
    <mergeCell ref="A148:A159"/>
    <mergeCell ref="B148:B152"/>
    <mergeCell ref="E148:E152"/>
    <mergeCell ref="B153:E153"/>
    <mergeCell ref="B154:E154"/>
    <mergeCell ref="B155:E155"/>
    <mergeCell ref="B156:E156"/>
    <mergeCell ref="B157:E157"/>
    <mergeCell ref="A134:E134"/>
    <mergeCell ref="A135:A146"/>
    <mergeCell ref="B135:B139"/>
    <mergeCell ref="E135:E139"/>
    <mergeCell ref="B140:E140"/>
    <mergeCell ref="B141:E141"/>
    <mergeCell ref="B142:E142"/>
    <mergeCell ref="B143:E143"/>
    <mergeCell ref="B144:E144"/>
    <mergeCell ref="B145:E145"/>
    <mergeCell ref="A122:A133"/>
    <mergeCell ref="B122:B126"/>
    <mergeCell ref="E122:E126"/>
    <mergeCell ref="B127:E127"/>
    <mergeCell ref="B128:E128"/>
    <mergeCell ref="B129:E129"/>
    <mergeCell ref="B130:E130"/>
    <mergeCell ref="B131:E131"/>
    <mergeCell ref="B132:E132"/>
    <mergeCell ref="B133:E133"/>
    <mergeCell ref="B116:E116"/>
    <mergeCell ref="B117:E117"/>
    <mergeCell ref="B118:E118"/>
    <mergeCell ref="B119:E119"/>
    <mergeCell ref="B120:E120"/>
    <mergeCell ref="A121:E121"/>
    <mergeCell ref="B104:E104"/>
    <mergeCell ref="B105:E105"/>
    <mergeCell ref="B106:E106"/>
    <mergeCell ref="B107:E107"/>
    <mergeCell ref="A108:E108"/>
    <mergeCell ref="A109:A120"/>
    <mergeCell ref="B109:B113"/>
    <mergeCell ref="E109:E113"/>
    <mergeCell ref="B114:E114"/>
    <mergeCell ref="B115:E115"/>
    <mergeCell ref="B92:E92"/>
    <mergeCell ref="B93:E93"/>
    <mergeCell ref="B94:E94"/>
    <mergeCell ref="A95:E95"/>
    <mergeCell ref="A96:A107"/>
    <mergeCell ref="B96:B100"/>
    <mergeCell ref="E96:E100"/>
    <mergeCell ref="B101:E101"/>
    <mergeCell ref="B102:E102"/>
    <mergeCell ref="B103:E103"/>
    <mergeCell ref="B80:E80"/>
    <mergeCell ref="B81:E81"/>
    <mergeCell ref="A82:E82"/>
    <mergeCell ref="A83:A94"/>
    <mergeCell ref="B83:B87"/>
    <mergeCell ref="E83:E87"/>
    <mergeCell ref="B88:E88"/>
    <mergeCell ref="B89:E89"/>
    <mergeCell ref="B90:E90"/>
    <mergeCell ref="B91:E91"/>
    <mergeCell ref="B68:E68"/>
    <mergeCell ref="A69:E69"/>
    <mergeCell ref="A70:A81"/>
    <mergeCell ref="B70:B74"/>
    <mergeCell ref="E70:E74"/>
    <mergeCell ref="B75:E75"/>
    <mergeCell ref="B76:E76"/>
    <mergeCell ref="B77:E77"/>
    <mergeCell ref="B78:E78"/>
    <mergeCell ref="B79:E79"/>
    <mergeCell ref="A56:E56"/>
    <mergeCell ref="A57:A68"/>
    <mergeCell ref="B57:B61"/>
    <mergeCell ref="E57:E61"/>
    <mergeCell ref="B62:E62"/>
    <mergeCell ref="B63:E63"/>
    <mergeCell ref="B64:E64"/>
    <mergeCell ref="B65:E65"/>
    <mergeCell ref="B66:E66"/>
    <mergeCell ref="B67:E67"/>
    <mergeCell ref="A45:E45"/>
    <mergeCell ref="A46:A55"/>
    <mergeCell ref="B46:B50"/>
    <mergeCell ref="E46:E50"/>
    <mergeCell ref="B51:E51"/>
    <mergeCell ref="B52:E52"/>
    <mergeCell ref="B53:E53"/>
    <mergeCell ref="B54:E54"/>
    <mergeCell ref="B55:E55"/>
    <mergeCell ref="A34:E34"/>
    <mergeCell ref="A35:A44"/>
    <mergeCell ref="B35:B39"/>
    <mergeCell ref="E35:E39"/>
    <mergeCell ref="B40:E40"/>
    <mergeCell ref="B41:E41"/>
    <mergeCell ref="B42:E42"/>
    <mergeCell ref="B43:E43"/>
    <mergeCell ref="B44:E44"/>
    <mergeCell ref="A23:E23"/>
    <mergeCell ref="A24:A33"/>
    <mergeCell ref="B24:B28"/>
    <mergeCell ref="E24:E28"/>
    <mergeCell ref="B29:E29"/>
    <mergeCell ref="B30:E30"/>
    <mergeCell ref="B31:E31"/>
    <mergeCell ref="B32:E32"/>
    <mergeCell ref="B33:E33"/>
    <mergeCell ref="A12:E12"/>
    <mergeCell ref="A13:A22"/>
    <mergeCell ref="B13:B17"/>
    <mergeCell ref="E13:E17"/>
    <mergeCell ref="B18:E18"/>
    <mergeCell ref="B19:E19"/>
    <mergeCell ref="B20:E20"/>
    <mergeCell ref="B21:E21"/>
    <mergeCell ref="B22:E22"/>
    <mergeCell ref="A2:A11"/>
    <mergeCell ref="B2:B6"/>
    <mergeCell ref="E2:E6"/>
    <mergeCell ref="B7:E7"/>
    <mergeCell ref="B8:E8"/>
    <mergeCell ref="B9:E9"/>
    <mergeCell ref="B10:E10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Mousumi</dc:creator>
  <cp:lastModifiedBy>MIS Mousumi</cp:lastModifiedBy>
  <dcterms:created xsi:type="dcterms:W3CDTF">2026-05-23T04:58:58Z</dcterms:created>
  <dcterms:modified xsi:type="dcterms:W3CDTF">2026-05-23T05:01:02Z</dcterms:modified>
</cp:coreProperties>
</file>